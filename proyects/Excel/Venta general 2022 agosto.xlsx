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Portafolio\"/>
    </mc:Choice>
  </mc:AlternateContent>
  <xr:revisionPtr revIDLastSave="0" documentId="13_ncr:1_{231392CB-E8CE-49EA-94C2-75862F12C90E}" xr6:coauthVersionLast="47" xr6:coauthVersionMax="47" xr10:uidLastSave="{00000000-0000-0000-0000-000000000000}"/>
  <bookViews>
    <workbookView xWindow="-120" yWindow="-120" windowWidth="19440" windowHeight="11640" xr2:uid="{AF07CE21-7517-421C-AFE4-E3D41BBF4EFA}"/>
  </bookViews>
  <sheets>
    <sheet name="Portada" sheetId="11" r:id="rId1"/>
    <sheet name="Venta total" sheetId="7" r:id="rId2"/>
    <sheet name="Tablas vta Tot" sheetId="8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9" i="8" l="1"/>
  <c r="K29" i="8"/>
  <c r="J29" i="8"/>
  <c r="I29" i="8"/>
  <c r="H29" i="8"/>
  <c r="G29" i="8"/>
  <c r="F29" i="8"/>
  <c r="E29" i="8"/>
  <c r="D29" i="8"/>
  <c r="C29" i="8"/>
  <c r="K28" i="8"/>
  <c r="J28" i="8"/>
  <c r="I28" i="8"/>
  <c r="H28" i="8"/>
  <c r="G28" i="8"/>
  <c r="F28" i="8"/>
  <c r="E28" i="8"/>
  <c r="D28" i="8"/>
  <c r="C28" i="8"/>
  <c r="L27" i="8"/>
  <c r="K27" i="8"/>
  <c r="K26" i="8"/>
  <c r="L21" i="8"/>
  <c r="K21" i="8"/>
  <c r="J21" i="8"/>
  <c r="I21" i="8"/>
  <c r="H21" i="8"/>
  <c r="G21" i="8"/>
  <c r="F21" i="8"/>
  <c r="E21" i="8"/>
  <c r="D21" i="8"/>
  <c r="C21" i="8"/>
  <c r="K20" i="8"/>
  <c r="J20" i="8"/>
  <c r="I20" i="8"/>
  <c r="H20" i="8"/>
  <c r="G20" i="8"/>
  <c r="F20" i="8"/>
  <c r="E20" i="8"/>
  <c r="D20" i="8"/>
  <c r="C20" i="8"/>
  <c r="L19" i="8"/>
  <c r="K19" i="8"/>
  <c r="I19" i="8"/>
  <c r="K18" i="8"/>
  <c r="I18" i="8"/>
  <c r="L14" i="8"/>
  <c r="K14" i="8"/>
  <c r="J14" i="8"/>
  <c r="I14" i="8"/>
  <c r="H14" i="8"/>
  <c r="G14" i="8"/>
  <c r="F14" i="8"/>
  <c r="E14" i="8"/>
  <c r="D14" i="8"/>
  <c r="C14" i="8"/>
  <c r="K13" i="8"/>
  <c r="J13" i="8"/>
  <c r="I13" i="8"/>
  <c r="H13" i="8"/>
  <c r="G13" i="8"/>
  <c r="F13" i="8"/>
  <c r="E13" i="8"/>
  <c r="D13" i="8"/>
  <c r="C13" i="8"/>
  <c r="L12" i="8"/>
  <c r="K12" i="8"/>
  <c r="K11" i="8"/>
  <c r="L7" i="8"/>
  <c r="K7" i="8"/>
  <c r="J7" i="8"/>
  <c r="I7" i="8"/>
  <c r="H7" i="8"/>
  <c r="G7" i="8"/>
  <c r="F7" i="8"/>
  <c r="E7" i="8"/>
  <c r="D7" i="8"/>
  <c r="C7" i="8"/>
  <c r="K6" i="8"/>
  <c r="J6" i="8"/>
  <c r="I6" i="8"/>
  <c r="H6" i="8"/>
  <c r="G6" i="8"/>
  <c r="F6" i="8"/>
  <c r="E6" i="8"/>
  <c r="D6" i="8"/>
  <c r="C6" i="8"/>
  <c r="L5" i="8"/>
  <c r="K5" i="8"/>
  <c r="J5" i="8"/>
  <c r="K4" i="8"/>
  <c r="Y75" i="7"/>
  <c r="W75" i="7"/>
  <c r="W74" i="7"/>
  <c r="Y72" i="7"/>
  <c r="X72" i="7"/>
  <c r="W72" i="7"/>
  <c r="Y71" i="7"/>
  <c r="X71" i="7"/>
  <c r="W71" i="7"/>
  <c r="Y70" i="7"/>
  <c r="X70" i="7"/>
  <c r="W70" i="7"/>
  <c r="Y69" i="7"/>
  <c r="X69" i="7"/>
  <c r="W69" i="7"/>
  <c r="Y68" i="7"/>
  <c r="X68" i="7"/>
  <c r="W68" i="7"/>
  <c r="Y67" i="7"/>
  <c r="X67" i="7"/>
  <c r="W67" i="7"/>
  <c r="Y66" i="7"/>
  <c r="X66" i="7"/>
  <c r="W66" i="7"/>
  <c r="Y65" i="7"/>
  <c r="X65" i="7"/>
  <c r="W65" i="7"/>
  <c r="X62" i="7"/>
  <c r="Y61" i="7"/>
  <c r="X61" i="7"/>
  <c r="X60" i="7"/>
  <c r="Y56" i="7"/>
  <c r="W56" i="7"/>
  <c r="W55" i="7"/>
  <c r="Y53" i="7"/>
  <c r="X53" i="7"/>
  <c r="W53" i="7"/>
  <c r="Y52" i="7"/>
  <c r="X52" i="7"/>
  <c r="W52" i="7"/>
  <c r="Y51" i="7"/>
  <c r="X51" i="7"/>
  <c r="W51" i="7"/>
  <c r="Y50" i="7"/>
  <c r="X50" i="7"/>
  <c r="W50" i="7"/>
  <c r="Y49" i="7"/>
  <c r="X49" i="7"/>
  <c r="W49" i="7"/>
  <c r="Y48" i="7"/>
  <c r="X48" i="7"/>
  <c r="W48" i="7"/>
  <c r="Y47" i="7"/>
  <c r="X47" i="7"/>
  <c r="W47" i="7"/>
  <c r="Y46" i="7"/>
  <c r="X46" i="7"/>
  <c r="W46" i="7"/>
  <c r="X43" i="7"/>
  <c r="Y42" i="7"/>
  <c r="X42" i="7"/>
  <c r="X41" i="7"/>
  <c r="Y37" i="7"/>
  <c r="W37" i="7"/>
  <c r="W36" i="7"/>
  <c r="Y34" i="7"/>
  <c r="X34" i="7"/>
  <c r="W34" i="7"/>
  <c r="Y33" i="7"/>
  <c r="X33" i="7"/>
  <c r="W33" i="7"/>
  <c r="Y32" i="7"/>
  <c r="X32" i="7"/>
  <c r="W32" i="7"/>
  <c r="Y31" i="7"/>
  <c r="X31" i="7"/>
  <c r="W31" i="7"/>
  <c r="Y30" i="7"/>
  <c r="X30" i="7"/>
  <c r="W30" i="7"/>
  <c r="Y29" i="7"/>
  <c r="X29" i="7"/>
  <c r="W29" i="7"/>
  <c r="Y28" i="7"/>
  <c r="X28" i="7"/>
  <c r="W28" i="7"/>
  <c r="Y27" i="7"/>
  <c r="X27" i="7"/>
  <c r="W27" i="7"/>
  <c r="X24" i="7"/>
  <c r="Y23" i="7"/>
  <c r="X23" i="7"/>
  <c r="X22" i="7"/>
  <c r="Y18" i="7"/>
  <c r="W18" i="7"/>
  <c r="W17" i="7"/>
  <c r="Y15" i="7"/>
  <c r="X15" i="7"/>
  <c r="W15" i="7"/>
  <c r="Y14" i="7"/>
  <c r="X14" i="7"/>
  <c r="W14" i="7"/>
  <c r="Y13" i="7"/>
  <c r="X13" i="7"/>
  <c r="W13" i="7"/>
  <c r="Y12" i="7"/>
  <c r="X12" i="7"/>
  <c r="W12" i="7"/>
  <c r="Y11" i="7"/>
  <c r="X11" i="7"/>
  <c r="W11" i="7"/>
  <c r="Y10" i="7"/>
  <c r="X10" i="7"/>
  <c r="W10" i="7"/>
  <c r="Y9" i="7"/>
  <c r="X9" i="7"/>
  <c r="W9" i="7"/>
  <c r="Y8" i="7"/>
  <c r="X8" i="7"/>
  <c r="W8" i="7"/>
  <c r="X5" i="7"/>
  <c r="Y4" i="7"/>
  <c r="X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Campos</author>
  </authors>
  <commentList>
    <comment ref="B4" authorId="0" shapeId="0" xr:uid="{8107B152-9DF7-443C-B289-0034A249541F}">
      <text>
        <r>
          <rPr>
            <b/>
            <sz val="9"/>
            <color indexed="81"/>
            <rFont val="Tahoma"/>
            <family val="2"/>
          </rPr>
          <t>Fuente:
Venta por ejecutivo (dasboard del proveedor)</t>
        </r>
      </text>
    </comment>
    <comment ref="B11" authorId="0" shapeId="0" xr:uid="{A25EE3F2-5C3A-4978-8522-6F47C38B44B1}">
      <text>
        <r>
          <rPr>
            <b/>
            <sz val="9"/>
            <color indexed="81"/>
            <rFont val="Tahoma"/>
            <family val="2"/>
          </rPr>
          <t>Fuente:
Venta por ejecutivo (dasboard del proveedor)</t>
        </r>
      </text>
    </comment>
    <comment ref="B18" authorId="0" shapeId="0" xr:uid="{8A19EB8A-65AB-41E7-B56B-A115978C403A}">
      <text>
        <r>
          <rPr>
            <b/>
            <sz val="9"/>
            <color indexed="81"/>
            <rFont val="Tahoma"/>
            <family val="2"/>
          </rPr>
          <t>Fuente:
Venta por ejecutivo (dasboard del proveedor)</t>
        </r>
      </text>
    </comment>
    <comment ref="B26" authorId="0" shapeId="0" xr:uid="{1EA0A6FB-647B-48A4-A54D-456E0572F66A}">
      <text>
        <r>
          <rPr>
            <b/>
            <sz val="9"/>
            <color indexed="81"/>
            <rFont val="Tahoma"/>
            <family val="2"/>
          </rPr>
          <t>Fuente:
Venta por ejecutivo (dasboard del proveedor)</t>
        </r>
      </text>
    </comment>
    <comment ref="B33" authorId="0" shapeId="0" xr:uid="{BEF5EA5F-9B65-4021-A0C7-0BA988FE07DB}">
      <text>
        <r>
          <rPr>
            <b/>
            <sz val="9"/>
            <color indexed="81"/>
            <rFont val="Tahoma"/>
            <family val="2"/>
          </rPr>
          <t>Fuente:
Archivo "Activos - Inactivos - Sin facturar</t>
        </r>
      </text>
    </comment>
  </commentList>
</comments>
</file>

<file path=xl/sharedStrings.xml><?xml version="1.0" encoding="utf-8"?>
<sst xmlns="http://schemas.openxmlformats.org/spreadsheetml/2006/main" count="83" uniqueCount="29">
  <si>
    <t>Enero</t>
  </si>
  <si>
    <t>Febrero</t>
  </si>
  <si>
    <t>Marzo</t>
  </si>
  <si>
    <t>Abril</t>
  </si>
  <si>
    <t>Mayo</t>
  </si>
  <si>
    <t>Junio</t>
  </si>
  <si>
    <t>Activo</t>
  </si>
  <si>
    <t>Inactivo</t>
  </si>
  <si>
    <t>Diferencia</t>
  </si>
  <si>
    <t>Porcentaje</t>
  </si>
  <si>
    <t>2021 vs 2022</t>
  </si>
  <si>
    <t>Mes aterior vs actual</t>
  </si>
  <si>
    <t>Año</t>
  </si>
  <si>
    <t>Total</t>
  </si>
  <si>
    <t>Estatus</t>
  </si>
  <si>
    <t>Socios</t>
  </si>
  <si>
    <t>Sin facturar</t>
  </si>
  <si>
    <t>Suma</t>
  </si>
  <si>
    <t>Venta General</t>
  </si>
  <si>
    <t>VENTA GENERAL</t>
  </si>
  <si>
    <t>Julio</t>
  </si>
  <si>
    <t>Acumulado</t>
  </si>
  <si>
    <t>Agosto</t>
  </si>
  <si>
    <t>VENTA CLIENTE 1</t>
  </si>
  <si>
    <t>VENTA CLIENTE 2</t>
  </si>
  <si>
    <t>VENTA CLIENTE 3</t>
  </si>
  <si>
    <t>Venta Cliente 1</t>
  </si>
  <si>
    <t>Venta Cliente 2</t>
  </si>
  <si>
    <t>Venta Cliente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</si>
</sst>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164" formatCode="&quot;$&quot;#,##0.00"/>
    <numFmt numFmtId="165" formatCode="#,##0_ ;[Red]\-#,##0\ "/>
    <numFmt numFmtId="166" formatCode="0.0%;[Red]\-0.0%"/>
    <numFmt numFmtId="167" formatCode="0.0%"/>
  </numFmts>
  <fonts count="13" x14ac:knownFonts="1">
    <font>
      <sz val="9"/>
      <name val="Segoe UI"/>
    </font>
    <font>
      <sz val="9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b/>
      <i/>
      <sz val="10"/>
      <name val="Segoe UI Black"/>
      <family val="2"/>
    </font>
    <font>
      <b/>
      <sz val="9"/>
      <color indexed="81"/>
      <name val="Tahoma"/>
      <family val="2"/>
    </font>
    <font>
      <sz val="9"/>
      <color theme="0" tint="-4.9989318521683403E-2"/>
      <name val="Segoe UI"/>
      <family val="2"/>
    </font>
    <font>
      <b/>
      <sz val="10"/>
      <color theme="0" tint="-4.9989318521683403E-2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/>
  </cellStyleXfs>
  <cellXfs count="5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4" xfId="0" applyBorder="1">
      <alignment vertical="center"/>
    </xf>
    <xf numFmtId="164" fontId="0" fillId="0" borderId="0" xfId="0" applyNumberForma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right"/>
    </xf>
    <xf numFmtId="0" fontId="7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centerContinuous" vertical="center"/>
    </xf>
    <xf numFmtId="8" fontId="3" fillId="0" borderId="0" xfId="0" applyNumberFormat="1" applyFont="1">
      <alignment vertical="center"/>
    </xf>
    <xf numFmtId="0" fontId="9" fillId="0" borderId="0" xfId="0" applyFont="1" applyAlignment="1"/>
    <xf numFmtId="8" fontId="0" fillId="0" borderId="0" xfId="0" applyNumberFormat="1">
      <alignment vertical="center"/>
    </xf>
    <xf numFmtId="0" fontId="0" fillId="0" borderId="0" xfId="0" applyAlignment="1"/>
    <xf numFmtId="0" fontId="3" fillId="0" borderId="4" xfId="0" applyFont="1" applyBorder="1">
      <alignment vertical="center"/>
    </xf>
    <xf numFmtId="8" fontId="0" fillId="0" borderId="4" xfId="0" applyNumberFormat="1" applyBorder="1">
      <alignment vertical="center"/>
    </xf>
    <xf numFmtId="8" fontId="3" fillId="0" borderId="4" xfId="0" applyNumberFormat="1" applyFont="1" applyBorder="1">
      <alignment vertical="center"/>
    </xf>
    <xf numFmtId="0" fontId="3" fillId="0" borderId="10" xfId="0" applyFont="1" applyBorder="1">
      <alignment vertical="center"/>
    </xf>
    <xf numFmtId="8" fontId="0" fillId="0" borderId="10" xfId="0" applyNumberFormat="1" applyBorder="1">
      <alignment vertical="center"/>
    </xf>
    <xf numFmtId="0" fontId="9" fillId="0" borderId="4" xfId="0" applyFont="1" applyBorder="1" applyAlignment="1"/>
    <xf numFmtId="165" fontId="10" fillId="0" borderId="4" xfId="0" applyNumberFormat="1" applyFont="1" applyBorder="1" applyAlignment="1"/>
    <xf numFmtId="0" fontId="3" fillId="0" borderId="11" xfId="0" applyFont="1" applyBorder="1">
      <alignment vertical="center"/>
    </xf>
    <xf numFmtId="166" fontId="2" fillId="0" borderId="0" xfId="1" applyNumberFormat="1" applyFont="1" applyBorder="1" applyAlignment="1">
      <alignment vertical="center"/>
    </xf>
    <xf numFmtId="166" fontId="3" fillId="0" borderId="0" xfId="1" applyNumberFormat="1" applyFont="1" applyBorder="1" applyAlignment="1">
      <alignment vertical="center"/>
    </xf>
    <xf numFmtId="0" fontId="0" fillId="0" borderId="15" xfId="0" applyBorder="1" applyAlignment="1">
      <alignment horizontal="centerContinuous" vertical="center"/>
    </xf>
    <xf numFmtId="0" fontId="5" fillId="0" borderId="15" xfId="0" applyFont="1" applyBorder="1" applyAlignment="1">
      <alignment horizontal="centerContinuous" vertical="center"/>
    </xf>
    <xf numFmtId="164" fontId="0" fillId="0" borderId="4" xfId="0" applyNumberFormat="1" applyBorder="1">
      <alignment vertical="center"/>
    </xf>
    <xf numFmtId="0" fontId="0" fillId="2" borderId="14" xfId="0" applyFill="1" applyBorder="1">
      <alignment vertical="center"/>
    </xf>
    <xf numFmtId="167" fontId="7" fillId="2" borderId="11" xfId="0" applyNumberFormat="1" applyFont="1" applyFill="1" applyBorder="1" applyAlignment="1">
      <alignment horizontal="right"/>
    </xf>
    <xf numFmtId="0" fontId="0" fillId="2" borderId="16" xfId="0" applyFill="1" applyBorder="1">
      <alignment vertical="center"/>
    </xf>
    <xf numFmtId="167" fontId="7" fillId="2" borderId="13" xfId="0" applyNumberFormat="1" applyFont="1" applyFill="1" applyBorder="1" applyAlignment="1">
      <alignment horizontal="right"/>
    </xf>
    <xf numFmtId="0" fontId="11" fillId="2" borderId="17" xfId="0" applyFont="1" applyFill="1" applyBorder="1" applyAlignment="1">
      <alignment horizontal="centerContinuous" vertical="center"/>
    </xf>
    <xf numFmtId="0" fontId="8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Continuous" vertical="center"/>
    </xf>
    <xf numFmtId="0" fontId="0" fillId="2" borderId="18" xfId="0" applyFill="1" applyBorder="1" applyAlignment="1">
      <alignment horizontal="centerContinuous" vertical="center"/>
    </xf>
    <xf numFmtId="164" fontId="7" fillId="2" borderId="0" xfId="0" applyNumberFormat="1" applyFont="1" applyFill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Continuous" vertical="center"/>
    </xf>
    <xf numFmtId="167" fontId="7" fillId="2" borderId="10" xfId="0" applyNumberFormat="1" applyFont="1" applyFill="1" applyBorder="1" applyAlignment="1">
      <alignment horizontal="right"/>
    </xf>
    <xf numFmtId="0" fontId="7" fillId="2" borderId="19" xfId="0" applyFont="1" applyFill="1" applyBorder="1" applyAlignment="1">
      <alignment horizontal="right"/>
    </xf>
    <xf numFmtId="0" fontId="0" fillId="2" borderId="20" xfId="0" applyFill="1" applyBorder="1">
      <alignment vertical="center"/>
    </xf>
    <xf numFmtId="0" fontId="3" fillId="3" borderId="21" xfId="0" applyFont="1" applyFill="1" applyBorder="1">
      <alignment vertical="center"/>
    </xf>
    <xf numFmtId="0" fontId="3" fillId="3" borderId="22" xfId="0" applyFont="1" applyFill="1" applyBorder="1">
      <alignment vertical="center"/>
    </xf>
    <xf numFmtId="164" fontId="3" fillId="3" borderId="22" xfId="0" applyNumberFormat="1" applyFont="1" applyFill="1" applyBorder="1">
      <alignment vertical="center"/>
    </xf>
    <xf numFmtId="167" fontId="3" fillId="3" borderId="23" xfId="1" applyNumberFormat="1" applyFont="1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Continuous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12" fillId="2" borderId="5" xfId="0" applyNumberFormat="1" applyFont="1" applyFill="1" applyBorder="1" applyAlignment="1">
      <alignment horizontal="center" vertical="center"/>
    </xf>
    <xf numFmtId="167" fontId="12" fillId="2" borderId="0" xfId="0" applyNumberFormat="1" applyFont="1" applyFill="1" applyAlignment="1">
      <alignment horizontal="center" vertical="center"/>
    </xf>
    <xf numFmtId="167" fontId="12" fillId="2" borderId="2" xfId="0" applyNumberFormat="1" applyFont="1" applyFill="1" applyBorder="1" applyAlignment="1">
      <alignment horizontal="center" vertical="center"/>
    </xf>
    <xf numFmtId="167" fontId="12" fillId="2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numFmt numFmtId="12" formatCode="&quot;$&quot;#,##0.00;[Red]\-&quot;$&quot;#,##0.00"/>
      <border diagonalUp="0" diagonalDown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799352750809062E-2"/>
          <c:y val="4.2145593869731802E-2"/>
          <c:w val="0.96724919093851125"/>
          <c:h val="0.86897215434277608"/>
        </c:manualLayout>
      </c:layout>
      <c:lineChart>
        <c:grouping val="standard"/>
        <c:varyColors val="0"/>
        <c:ser>
          <c:idx val="0"/>
          <c:order val="0"/>
          <c:tx>
            <c:strRef>
              <c:f>'Tablas vta Tot'!$B$4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squar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7.9773462783171517E-2"/>
                  <c:y val="6.0909886264216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59-449F-9948-F90D75B57103}"/>
                </c:ext>
              </c:extLst>
            </c:dLbl>
            <c:spPr>
              <a:solidFill>
                <a:schemeClr val="accent1">
                  <a:lumMod val="50000"/>
                  <a:alpha val="45000"/>
                </a:schemeClr>
              </a:solidFill>
              <a:ln>
                <a:noFill/>
              </a:ln>
              <a:effectLst>
                <a:glow rad="139700">
                  <a:schemeClr val="accent1">
                    <a:alpha val="14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'Tablas vta Tot'!$C$3:$J$3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'Tablas vta Tot'!$C$4:$J$4</c:f>
              <c:numCache>
                <c:formatCode>"$"#,##0.00_);[Red]\("$"#,##0.00\)</c:formatCode>
                <c:ptCount val="8"/>
                <c:pt idx="0">
                  <c:v>83865948.239999995</c:v>
                </c:pt>
                <c:pt idx="1">
                  <c:v>78063586.849600017</c:v>
                </c:pt>
                <c:pt idx="2">
                  <c:v>53222539.389999986</c:v>
                </c:pt>
                <c:pt idx="3">
                  <c:v>58269002.319999993</c:v>
                </c:pt>
                <c:pt idx="4">
                  <c:v>40625604.639999993</c:v>
                </c:pt>
                <c:pt idx="5">
                  <c:v>46512449.310000017</c:v>
                </c:pt>
                <c:pt idx="6">
                  <c:v>56367991.290000021</c:v>
                </c:pt>
                <c:pt idx="7">
                  <c:v>77776316.049999997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9-449F-9948-F90D75B57103}"/>
            </c:ext>
          </c:extLst>
        </c:ser>
        <c:ser>
          <c:idx val="1"/>
          <c:order val="1"/>
          <c:tx>
            <c:strRef>
              <c:f>'Tablas vta Tot'!$B$5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squar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5.7119741100323633E-2"/>
                  <c:y val="-7.270039520921962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59-449F-9948-F90D75B57103}"/>
                </c:ext>
              </c:extLst>
            </c:dLbl>
            <c:dLbl>
              <c:idx val="2"/>
              <c:layout>
                <c:manualLayout>
                  <c:x val="-6.1974110032362459E-2"/>
                  <c:y val="-4.94156333906537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59-449F-9948-F90D75B57103}"/>
                </c:ext>
              </c:extLst>
            </c:dLbl>
            <c:spPr>
              <a:solidFill>
                <a:schemeClr val="accent2">
                  <a:lumMod val="50000"/>
                  <a:alpha val="45000"/>
                </a:schemeClr>
              </a:solidFill>
              <a:ln>
                <a:noFill/>
              </a:ln>
              <a:effectLst>
                <a:glow rad="139700">
                  <a:schemeClr val="accent1">
                    <a:alpha val="14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'Tablas vta Tot'!$C$3:$J$3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'Tablas vta Tot'!$C$5:$J$5</c:f>
              <c:numCache>
                <c:formatCode>"$"#,##0.00_);[Red]\("$"#,##0.00\)</c:formatCode>
                <c:ptCount val="8"/>
                <c:pt idx="0">
                  <c:v>94717426.823200017</c:v>
                </c:pt>
                <c:pt idx="1">
                  <c:v>49486340.529999949</c:v>
                </c:pt>
                <c:pt idx="2">
                  <c:v>48650145.577199943</c:v>
                </c:pt>
                <c:pt idx="3">
                  <c:v>35629812.936799996</c:v>
                </c:pt>
                <c:pt idx="4">
                  <c:v>23386596.277599998</c:v>
                </c:pt>
                <c:pt idx="5">
                  <c:v>40825768.862799995</c:v>
                </c:pt>
                <c:pt idx="6">
                  <c:v>38285691.586399995</c:v>
                </c:pt>
                <c:pt idx="7">
                  <c:v>28872460.589999989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59-449F-9948-F90D75B57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113423"/>
        <c:axId val="1"/>
      </c:lineChart>
      <c:catAx>
        <c:axId val="106611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crossAx val="10661134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25242808504359"/>
          <c:y val="0.74185765014667282"/>
          <c:w val="5.1538437213420663E-2"/>
          <c:h val="0.13521723019916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799352750809062E-2"/>
          <c:y val="0.13829938925903493"/>
          <c:w val="0.96724919093851125"/>
          <c:h val="0.77281824146981637"/>
        </c:manualLayout>
      </c:layout>
      <c:lineChart>
        <c:grouping val="standard"/>
        <c:varyColors val="0"/>
        <c:ser>
          <c:idx val="0"/>
          <c:order val="0"/>
          <c:tx>
            <c:strRef>
              <c:f>'Tablas vta Tot'!$B$11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squar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7"/>
              <c:layout>
                <c:manualLayout>
                  <c:x val="-4.0361817753550036E-2"/>
                  <c:y val="-5.167259741570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2B-450A-9F10-95F9EA5AC756}"/>
                </c:ext>
              </c:extLst>
            </c:dLbl>
            <c:spPr>
              <a:solidFill>
                <a:schemeClr val="accent1">
                  <a:lumMod val="50000"/>
                  <a:alpha val="45000"/>
                </a:schemeClr>
              </a:solidFill>
              <a:ln>
                <a:noFill/>
              </a:ln>
              <a:effectLst>
                <a:glow rad="139700">
                  <a:schemeClr val="accent1">
                    <a:alpha val="14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'Tablas vta Tot'!$C$10:$J$10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'Tablas vta Tot'!$C$11:$J$11</c:f>
              <c:numCache>
                <c:formatCode>"$"#,##0.00_);[Red]\("$"#,##0.00\)</c:formatCode>
                <c:ptCount val="8"/>
                <c:pt idx="0">
                  <c:v>14313449</c:v>
                </c:pt>
                <c:pt idx="1">
                  <c:v>19156433</c:v>
                </c:pt>
                <c:pt idx="2">
                  <c:v>16565163</c:v>
                </c:pt>
                <c:pt idx="3">
                  <c:v>17274313</c:v>
                </c:pt>
                <c:pt idx="4">
                  <c:v>18364061</c:v>
                </c:pt>
                <c:pt idx="5">
                  <c:v>18193314</c:v>
                </c:pt>
                <c:pt idx="6">
                  <c:v>19001221</c:v>
                </c:pt>
                <c:pt idx="7">
                  <c:v>19360455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2B-450A-9F10-95F9EA5AC756}"/>
            </c:ext>
          </c:extLst>
        </c:ser>
        <c:ser>
          <c:idx val="1"/>
          <c:order val="1"/>
          <c:tx>
            <c:strRef>
              <c:f>'Tablas vta Tot'!$B$12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squar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7"/>
              <c:layout>
                <c:manualLayout>
                  <c:x val="-3.82250656167979E-2"/>
                  <c:y val="6.36918281849384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2B-450A-9F10-95F9EA5AC756}"/>
                </c:ext>
              </c:extLst>
            </c:dLbl>
            <c:spPr>
              <a:solidFill>
                <a:schemeClr val="accent2">
                  <a:lumMod val="50000"/>
                  <a:alpha val="45000"/>
                </a:schemeClr>
              </a:solidFill>
              <a:ln>
                <a:noFill/>
              </a:ln>
              <a:effectLst>
                <a:glow rad="139700">
                  <a:schemeClr val="accent1">
                    <a:alpha val="14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'Tablas vta Tot'!$C$10:$J$10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'Tablas vta Tot'!$C$12:$J$12</c:f>
              <c:numCache>
                <c:formatCode>"$"#,##0.00_);[Red]\("$"#,##0.00\)</c:formatCode>
                <c:ptCount val="8"/>
                <c:pt idx="0">
                  <c:v>14173677.743599901</c:v>
                </c:pt>
                <c:pt idx="1">
                  <c:v>19006826.992799994</c:v>
                </c:pt>
                <c:pt idx="2">
                  <c:v>20689953.534399997</c:v>
                </c:pt>
                <c:pt idx="3">
                  <c:v>22663858.9388</c:v>
                </c:pt>
                <c:pt idx="4">
                  <c:v>18388849.957599998</c:v>
                </c:pt>
                <c:pt idx="5">
                  <c:v>23093555.650800001</c:v>
                </c:pt>
                <c:pt idx="6">
                  <c:v>20522207.396000002</c:v>
                </c:pt>
                <c:pt idx="7">
                  <c:v>18066663.399999999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2B-450A-9F10-95F9EA5AC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293567"/>
        <c:axId val="1"/>
      </c:lineChart>
      <c:catAx>
        <c:axId val="11272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crossAx val="11272935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25242808504359"/>
          <c:y val="0.74185765014667282"/>
          <c:w val="7.8058290906407812E-2"/>
          <c:h val="0.12931110081828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799352750809062E-2"/>
          <c:y val="4.2145593869731802E-2"/>
          <c:w val="0.96724919093851125"/>
          <c:h val="0.86897215434277608"/>
        </c:manualLayout>
      </c:layout>
      <c:lineChart>
        <c:grouping val="standard"/>
        <c:varyColors val="0"/>
        <c:ser>
          <c:idx val="0"/>
          <c:order val="0"/>
          <c:tx>
            <c:strRef>
              <c:f>'Tablas vta Tot'!$B$18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squar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7.9773462783171517E-2"/>
                  <c:y val="6.0909886264216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92-416F-9BA0-B9FBCA78A4CA}"/>
                </c:ext>
              </c:extLst>
            </c:dLbl>
            <c:spPr>
              <a:solidFill>
                <a:schemeClr val="accent1">
                  <a:lumMod val="50000"/>
                  <a:alpha val="45000"/>
                </a:schemeClr>
              </a:solidFill>
              <a:ln>
                <a:noFill/>
              </a:ln>
              <a:effectLst>
                <a:glow rad="139700">
                  <a:schemeClr val="accent1">
                    <a:alpha val="14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'Tablas vta Tot'!$C$17:$J$17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'Tablas vta Tot'!$C$18:$J$18</c:f>
              <c:numCache>
                <c:formatCode>"$"#,##0.00_);[Red]\("$"#,##0.00\)</c:formatCode>
                <c:ptCount val="8"/>
                <c:pt idx="0">
                  <c:v>61197972.819999993</c:v>
                </c:pt>
                <c:pt idx="1">
                  <c:v>49893245.344800025</c:v>
                </c:pt>
                <c:pt idx="2">
                  <c:v>30239826.829999991</c:v>
                </c:pt>
                <c:pt idx="3">
                  <c:v>29386565.399999999</c:v>
                </c:pt>
                <c:pt idx="4">
                  <c:v>22261543.639999993</c:v>
                </c:pt>
                <c:pt idx="5">
                  <c:v>17337677.979999997</c:v>
                </c:pt>
                <c:pt idx="6">
                  <c:v>30952821.340000018</c:v>
                </c:pt>
                <c:pt idx="7">
                  <c:v>51104058.100000009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2-416F-9BA0-B9FBCA78A4CA}"/>
            </c:ext>
          </c:extLst>
        </c:ser>
        <c:ser>
          <c:idx val="1"/>
          <c:order val="1"/>
          <c:tx>
            <c:strRef>
              <c:f>'Tablas vta Tot'!$B$19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squar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5.7119741100323633E-2"/>
                  <c:y val="-7.270039520921962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92-416F-9BA0-B9FBCA78A4CA}"/>
                </c:ext>
              </c:extLst>
            </c:dLbl>
            <c:dLbl>
              <c:idx val="1"/>
              <c:layout>
                <c:manualLayout>
                  <c:x val="-4.3055555555555597E-2"/>
                  <c:y val="-5.9685417928528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92-416F-9BA0-B9FBCA78A4CA}"/>
                </c:ext>
              </c:extLst>
            </c:dLbl>
            <c:dLbl>
              <c:idx val="2"/>
              <c:layout>
                <c:manualLayout>
                  <c:x val="-6.1974110032362459E-2"/>
                  <c:y val="-4.94156333906537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92-416F-9BA0-B9FBCA78A4CA}"/>
                </c:ext>
              </c:extLst>
            </c:dLbl>
            <c:spPr>
              <a:solidFill>
                <a:schemeClr val="accent2">
                  <a:lumMod val="50000"/>
                  <a:alpha val="45000"/>
                </a:schemeClr>
              </a:solidFill>
              <a:ln>
                <a:noFill/>
              </a:ln>
              <a:effectLst>
                <a:glow rad="139700">
                  <a:schemeClr val="accent1">
                    <a:alpha val="14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'Tablas vta Tot'!$C$17:$J$17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'Tablas vta Tot'!$C$19:$J$19</c:f>
              <c:numCache>
                <c:formatCode>"$"#,##0.00_);[Red]\("$"#,##0.00\)</c:formatCode>
                <c:ptCount val="8"/>
                <c:pt idx="0">
                  <c:v>71904867.419600114</c:v>
                </c:pt>
                <c:pt idx="1">
                  <c:v>30491422.366400007</c:v>
                </c:pt>
                <c:pt idx="2">
                  <c:v>15641975.919999998</c:v>
                </c:pt>
                <c:pt idx="3">
                  <c:v>6757580</c:v>
                </c:pt>
                <c:pt idx="4">
                  <c:v>4997746.32</c:v>
                </c:pt>
                <c:pt idx="5">
                  <c:v>9324736.5599999987</c:v>
                </c:pt>
                <c:pt idx="6">
                  <c:v>12152764.359999994</c:v>
                </c:pt>
                <c:pt idx="7">
                  <c:v>2845228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92-416F-9BA0-B9FBCA78A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290207"/>
        <c:axId val="1"/>
      </c:lineChart>
      <c:catAx>
        <c:axId val="112729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crossAx val="11272902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679779485395651"/>
          <c:y val="6.0767948124131548E-2"/>
          <c:w val="7.8058290906407812E-2"/>
          <c:h val="0.12931110081828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799352750809062E-2"/>
          <c:y val="4.2145593869731802E-2"/>
          <c:w val="0.96724919093851125"/>
          <c:h val="0.86897215434277608"/>
        </c:manualLayout>
      </c:layout>
      <c:lineChart>
        <c:grouping val="standard"/>
        <c:varyColors val="0"/>
        <c:ser>
          <c:idx val="0"/>
          <c:order val="0"/>
          <c:tx>
            <c:strRef>
              <c:f>'Tablas vta Tot'!$B$26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squar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4"/>
              <c:layout>
                <c:manualLayout>
                  <c:x val="-3.9465811965811969E-2"/>
                  <c:y val="-9.17366999798103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9F-4E81-82E0-FA147638F4AF}"/>
                </c:ext>
              </c:extLst>
            </c:dLbl>
            <c:dLbl>
              <c:idx val="5"/>
              <c:layout>
                <c:manualLayout>
                  <c:x val="-4.3055555555555632E-2"/>
                  <c:y val="-4.76661871592974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9F-4E81-82E0-FA147638F4AF}"/>
                </c:ext>
              </c:extLst>
            </c:dLbl>
            <c:dLbl>
              <c:idx val="6"/>
              <c:layout>
                <c:manualLayout>
                  <c:x val="-4.1415640352648227E-2"/>
                  <c:y val="-4.3659776902887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9F-4E81-82E0-FA147638F4AF}"/>
                </c:ext>
              </c:extLst>
            </c:dLbl>
            <c:spPr>
              <a:solidFill>
                <a:schemeClr val="accent1">
                  <a:lumMod val="50000"/>
                  <a:alpha val="45000"/>
                </a:schemeClr>
              </a:solidFill>
              <a:ln>
                <a:noFill/>
              </a:ln>
              <a:effectLst>
                <a:glow rad="139700">
                  <a:schemeClr val="accent1">
                    <a:alpha val="14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'Tablas vta Tot'!$C$25:$J$25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'Tablas vta Tot'!$C$26:$J$26</c:f>
              <c:numCache>
                <c:formatCode>"$"#,##0.00_);[Red]\("$"#,##0.00\)</c:formatCode>
                <c:ptCount val="8"/>
                <c:pt idx="0">
                  <c:v>8354526.4199999981</c:v>
                </c:pt>
                <c:pt idx="1">
                  <c:v>9013908.5047999974</c:v>
                </c:pt>
                <c:pt idx="2">
                  <c:v>6417549.5600000015</c:v>
                </c:pt>
                <c:pt idx="3">
                  <c:v>11608123.919999998</c:v>
                </c:pt>
                <c:pt idx="4" formatCode="&quot;$&quot;#,##0.00">
                  <c:v>153875.24999999814</c:v>
                </c:pt>
                <c:pt idx="5">
                  <c:v>10981457.330000004</c:v>
                </c:pt>
                <c:pt idx="6">
                  <c:v>6413948.9500000011</c:v>
                </c:pt>
                <c:pt idx="7">
                  <c:v>7311802.9500000002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F-4E81-82E0-FA147638F4AF}"/>
            </c:ext>
          </c:extLst>
        </c:ser>
        <c:ser>
          <c:idx val="1"/>
          <c:order val="1"/>
          <c:tx>
            <c:strRef>
              <c:f>'Tablas vta Tot'!$B$27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squar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4"/>
              <c:layout>
                <c:manualLayout>
                  <c:x val="-2.1340854027861903E-2"/>
                  <c:y val="-1.64363769432668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9F-4E81-82E0-FA147638F4AF}"/>
                </c:ext>
              </c:extLst>
            </c:dLbl>
            <c:dLbl>
              <c:idx val="5"/>
              <c:layout>
                <c:manualLayout>
                  <c:x val="-4.0347264284272238E-2"/>
                  <c:y val="5.167259741570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9F-4E81-82E0-FA147638F4AF}"/>
                </c:ext>
              </c:extLst>
            </c:dLbl>
            <c:dLbl>
              <c:idx val="6"/>
              <c:layout>
                <c:manualLayout>
                  <c:x val="-4.3552392489400363E-2"/>
                  <c:y val="4.7666187159297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9F-4E81-82E0-FA147638F4AF}"/>
                </c:ext>
              </c:extLst>
            </c:dLbl>
            <c:spPr>
              <a:solidFill>
                <a:schemeClr val="accent2">
                  <a:lumMod val="50000"/>
                  <a:alpha val="45000"/>
                </a:schemeClr>
              </a:solidFill>
              <a:ln>
                <a:noFill/>
              </a:ln>
              <a:effectLst>
                <a:glow rad="139700">
                  <a:schemeClr val="accent1">
                    <a:alpha val="14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'Tablas vta Tot'!$C$25:$J$25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'Tablas vta Tot'!$C$27:$J$27</c:f>
              <c:numCache>
                <c:formatCode>"$"#,##0.00_);[Red]\("$"#,##0.00\)</c:formatCode>
                <c:ptCount val="8"/>
                <c:pt idx="0">
                  <c:v>8638881.6600000001</c:v>
                </c:pt>
                <c:pt idx="1">
                  <c:v>0</c:v>
                </c:pt>
                <c:pt idx="2">
                  <c:v>12318216.12279995</c:v>
                </c:pt>
                <c:pt idx="3">
                  <c:v>6208373.9979999969</c:v>
                </c:pt>
                <c:pt idx="4">
                  <c:v>0</c:v>
                </c:pt>
                <c:pt idx="5">
                  <c:v>8407476.6519999988</c:v>
                </c:pt>
                <c:pt idx="6">
                  <c:v>5610719.8303999994</c:v>
                </c:pt>
                <c:pt idx="7">
                  <c:v>7960569.1899999892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F-4E81-82E0-FA147638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295007"/>
        <c:axId val="1"/>
      </c:lineChart>
      <c:catAx>
        <c:axId val="112729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crossAx val="11272950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25242808504359"/>
          <c:y val="0.74185782500079056"/>
          <c:w val="7.8058290906407812E-2"/>
          <c:h val="0.12931126079119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491463</xdr:colOff>
      <xdr:row>7</xdr:row>
      <xdr:rowOff>59823</xdr:rowOff>
    </xdr:from>
    <xdr:ext cx="4236830" cy="179245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A031B27-E935-EEEA-4492-E2AA78ECEA90}"/>
            </a:ext>
          </a:extLst>
        </xdr:cNvPr>
        <xdr:cNvSpPr/>
      </xdr:nvSpPr>
      <xdr:spPr>
        <a:xfrm>
          <a:off x="3920463" y="1126623"/>
          <a:ext cx="420820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>
            <a:lnSpc>
              <a:spcPts val="6500"/>
            </a:lnSpc>
          </a:pPr>
          <a:r>
            <a:rPr lang="es-ES" sz="54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Venta general</a:t>
          </a:r>
        </a:p>
        <a:p>
          <a:pPr algn="ctr"/>
          <a:r>
            <a:rPr lang="es-ES" sz="54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Agosto</a:t>
          </a:r>
          <a:r>
            <a:rPr lang="es-ES" sz="5400" b="1" cap="none" spc="0" baseline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 2022</a:t>
          </a:r>
          <a:endParaRPr lang="es-ES" sz="54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2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2049" name="Gráfico 1">
          <a:extLst>
            <a:ext uri="{FF2B5EF4-FFF2-40B4-BE49-F238E27FC236}">
              <a16:creationId xmlns:a16="http://schemas.microsoft.com/office/drawing/2014/main" id="{3DCE6ACB-6FC9-64C5-CCFD-76798ED95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21</xdr:row>
      <xdr:rowOff>0</xdr:rowOff>
    </xdr:from>
    <xdr:to>
      <xdr:col>21</xdr:col>
      <xdr:colOff>0</xdr:colOff>
      <xdr:row>38</xdr:row>
      <xdr:rowOff>0</xdr:rowOff>
    </xdr:to>
    <xdr:graphicFrame macro="">
      <xdr:nvGraphicFramePr>
        <xdr:cNvPr id="2050" name="Gráfico 2">
          <a:extLst>
            <a:ext uri="{FF2B5EF4-FFF2-40B4-BE49-F238E27FC236}">
              <a16:creationId xmlns:a16="http://schemas.microsoft.com/office/drawing/2014/main" id="{B721C6F5-6C12-63C1-2C98-C1864B7DF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21</xdr:col>
      <xdr:colOff>0</xdr:colOff>
      <xdr:row>57</xdr:row>
      <xdr:rowOff>0</xdr:rowOff>
    </xdr:to>
    <xdr:graphicFrame macro="">
      <xdr:nvGraphicFramePr>
        <xdr:cNvPr id="2051" name="Gráfico 3">
          <a:extLst>
            <a:ext uri="{FF2B5EF4-FFF2-40B4-BE49-F238E27FC236}">
              <a16:creationId xmlns:a16="http://schemas.microsoft.com/office/drawing/2014/main" id="{EF16E7E1-372C-F107-D7F3-C1989C4AB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21</xdr:col>
      <xdr:colOff>0</xdr:colOff>
      <xdr:row>76</xdr:row>
      <xdr:rowOff>0</xdr:rowOff>
    </xdr:to>
    <xdr:graphicFrame macro="">
      <xdr:nvGraphicFramePr>
        <xdr:cNvPr id="2052" name="Gráfico 4">
          <a:extLst>
            <a:ext uri="{FF2B5EF4-FFF2-40B4-BE49-F238E27FC236}">
              <a16:creationId xmlns:a16="http://schemas.microsoft.com/office/drawing/2014/main" id="{35BE225D-0480-DC68-072A-A70D5A945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9D7641-792B-4BEB-B268-1B084AED7890}" name="General21y22" displayName="General21y22" ref="C3:K7" totalsRowShown="0" headerRowDxfId="32">
  <autoFilter ref="C3:K7" xr:uid="{A82EFD28-E129-4D35-8E07-115AA6A13626}"/>
  <tableColumns count="9">
    <tableColumn id="1" xr3:uid="{00000000-0010-0000-0900-000001000000}" name="Enero" dataDxfId="31"/>
    <tableColumn id="2" xr3:uid="{00000000-0010-0000-0900-000002000000}" name="Febrero" dataDxfId="30"/>
    <tableColumn id="3" xr3:uid="{00000000-0010-0000-0900-000003000000}" name="Marzo" dataDxfId="29"/>
    <tableColumn id="4" xr3:uid="{00000000-0010-0000-0900-000004000000}" name="Abril" dataDxfId="28"/>
    <tableColumn id="5" xr3:uid="{00000000-0010-0000-0900-000005000000}" name="Mayo" dataDxfId="27"/>
    <tableColumn id="6" xr3:uid="{00000000-0010-0000-0900-000006000000}" name="Junio"/>
    <tableColumn id="9" xr3:uid="{00000000-0010-0000-0900-000009000000}" name="Julio" dataDxfId="26"/>
    <tableColumn id="8" xr3:uid="{00000000-0010-0000-0900-000008000000}" name="Agosto" dataDxfId="25"/>
    <tableColumn id="7" xr3:uid="{00000000-0010-0000-0900-000007000000}" name="Suma" dataDxfId="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C5389-489D-44EE-9705-C9478EBF65C4}" name="Referencia21y22" displayName="Referencia21y22" ref="C10:K14" totalsRowShown="0" headerRowDxfId="23">
  <autoFilter ref="C10:K14" xr:uid="{990D96EC-EA09-4F02-BAC9-D2390A8AEC5D}"/>
  <tableColumns count="9">
    <tableColumn id="1" xr3:uid="{00000000-0010-0000-0B00-000001000000}" name="Enero" dataDxfId="22"/>
    <tableColumn id="2" xr3:uid="{00000000-0010-0000-0B00-000002000000}" name="Febrero" dataDxfId="21"/>
    <tableColumn id="3" xr3:uid="{00000000-0010-0000-0B00-000003000000}" name="Marzo" dataDxfId="20"/>
    <tableColumn id="4" xr3:uid="{00000000-0010-0000-0B00-000004000000}" name="Abril" dataDxfId="19"/>
    <tableColumn id="5" xr3:uid="{00000000-0010-0000-0B00-000005000000}" name="Mayo" dataDxfId="18"/>
    <tableColumn id="6" xr3:uid="{00000000-0010-0000-0B00-000006000000}" name="Junio"/>
    <tableColumn id="8" xr3:uid="{00000000-0010-0000-0B00-000008000000}" name="Julio" dataDxfId="17"/>
    <tableColumn id="9" xr3:uid="{00000000-0010-0000-0B00-000009000000}" name="Agosto" dataDxfId="16"/>
    <tableColumn id="7" xr3:uid="{00000000-0010-0000-0B00-000007000000}" name="Suma" dataDxfId="1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F0C73D-DB64-4405-821A-468AA8040A4B}" name="Covid21y22" displayName="Covid21y22" ref="C17:K21" totalsRowShown="0" headerRowDxfId="14">
  <autoFilter ref="C17:K21" xr:uid="{A2B06BA9-25EC-421E-8C39-596866807553}"/>
  <tableColumns count="9">
    <tableColumn id="1" xr3:uid="{00000000-0010-0000-0D00-000001000000}" name="Enero"/>
    <tableColumn id="2" xr3:uid="{00000000-0010-0000-0D00-000002000000}" name="Febrero"/>
    <tableColumn id="3" xr3:uid="{00000000-0010-0000-0D00-000003000000}" name="Marzo"/>
    <tableColumn id="4" xr3:uid="{00000000-0010-0000-0D00-000004000000}" name="Abril"/>
    <tableColumn id="5" xr3:uid="{00000000-0010-0000-0D00-000005000000}" name="Mayo"/>
    <tableColumn id="6" xr3:uid="{00000000-0010-0000-0D00-000006000000}" name="Junio"/>
    <tableColumn id="8" xr3:uid="{00000000-0010-0000-0D00-000008000000}" name="Julio" dataDxfId="13"/>
    <tableColumn id="9" xr3:uid="{00000000-0010-0000-0D00-000009000000}" name="Agosto" dataDxfId="12"/>
    <tableColumn id="7" xr3:uid="{00000000-0010-0000-0D00-000007000000}" name="Suma" dataDxfId="1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D4CD1A-1B89-4267-A080-7655F708863C}" name="Similares21y22" displayName="Similares21y22" ref="C25:K29" totalsRowShown="0" headerRowDxfId="10">
  <autoFilter ref="C25:K29" xr:uid="{5D838FDA-FDD0-4EE7-A95B-433B9708B995}"/>
  <tableColumns count="9">
    <tableColumn id="1" xr3:uid="{00000000-0010-0000-0F00-000001000000}" name="Enero"/>
    <tableColumn id="2" xr3:uid="{00000000-0010-0000-0F00-000002000000}" name="Febrero"/>
    <tableColumn id="3" xr3:uid="{00000000-0010-0000-0F00-000003000000}" name="Marzo"/>
    <tableColumn id="4" xr3:uid="{00000000-0010-0000-0F00-000004000000}" name="Abril"/>
    <tableColumn id="5" xr3:uid="{00000000-0010-0000-0F00-000005000000}" name="Mayo"/>
    <tableColumn id="6" xr3:uid="{00000000-0010-0000-0F00-000006000000}" name="Junio"/>
    <tableColumn id="8" xr3:uid="{00000000-0010-0000-0F00-000008000000}" name="Julio" dataDxfId="9"/>
    <tableColumn id="9" xr3:uid="{00000000-0010-0000-0F00-000009000000}" name="Agosto" dataDxfId="8"/>
    <tableColumn id="7" xr3:uid="{00000000-0010-0000-0F00-000007000000}" name="Suma" dataDxfId="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E55C3A-6675-4E9A-969E-227A9B428036}" name="Tabla9" displayName="Tabla9" ref="B33:F34" totalsRowShown="0" headerRowDxfId="6" dataDxfId="5">
  <autoFilter ref="B33:F34" xr:uid="{334D5D00-A71E-4CF8-84CD-1A9BFCC3501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1100-000001000000}" name="Estatus" dataDxfId="4"/>
    <tableColumn id="2" xr3:uid="{00000000-0010-0000-1100-000002000000}" name="Activo" dataDxfId="3"/>
    <tableColumn id="3" xr3:uid="{00000000-0010-0000-1100-000003000000}" name="Inactivo" dataDxfId="2"/>
    <tableColumn id="4" xr3:uid="{00000000-0010-0000-1100-000004000000}" name="Total" dataDxfId="1"/>
    <tableColumn id="5" xr3:uid="{00000000-0010-0000-1100-000005000000}" name="Sin factur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B010-0F5D-426C-BA11-8B04AA888480}">
  <sheetPr codeName="Hoja6"/>
  <dimension ref="A1"/>
  <sheetViews>
    <sheetView showGridLines="0" showRowColHeaders="0" tabSelected="1" workbookViewId="0"/>
  </sheetViews>
  <sheetFormatPr baseColWidth="10" defaultRowHeight="12" x14ac:dyDescent="0.2"/>
  <sheetData/>
  <sheetProtection algorithmName="SHA-512" hashValue="7JJxWvqBKhz5aqwoLfnAQIdGgE81yNGOQ/0N8SjQ29d93sM/v3voD0sh8WPGcqNo6q29qN6QS7j3EpjVipMoSg==" saltValue="ypP7A5dQZBKpE8Dw9DaPKA==" spinCount="100000" sheet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9DA6-61AB-4E3C-98FE-DB07CF8DA2F9}">
  <sheetPr codeName="Hoja2"/>
  <dimension ref="B1:AB76"/>
  <sheetViews>
    <sheetView showGridLines="0" showRowColHeaders="0" topLeftCell="B1" zoomScale="85" zoomScaleNormal="85" workbookViewId="0">
      <selection activeCell="W75" sqref="W75:X76"/>
    </sheetView>
  </sheetViews>
  <sheetFormatPr baseColWidth="10" defaultRowHeight="12" x14ac:dyDescent="0.2"/>
  <cols>
    <col min="1" max="1" width="2.5" customWidth="1"/>
    <col min="4" max="4" width="3.5" customWidth="1"/>
    <col min="13" max="13" width="15.6640625" customWidth="1"/>
    <col min="14" max="14" width="2.83203125" customWidth="1"/>
    <col min="16" max="16" width="14" bestFit="1" customWidth="1"/>
    <col min="17" max="17" width="2.6640625" customWidth="1"/>
    <col min="19" max="19" width="9.6640625" customWidth="1"/>
    <col min="20" max="20" width="3.6640625" customWidth="1"/>
    <col min="22" max="22" width="2.83203125" customWidth="1"/>
    <col min="23" max="23" width="13.1640625" customWidth="1"/>
    <col min="24" max="24" width="17.6640625" bestFit="1" customWidth="1"/>
    <col min="25" max="26" width="2.6640625" customWidth="1"/>
    <col min="27" max="27" width="15.6640625" bestFit="1" customWidth="1"/>
  </cols>
  <sheetData>
    <row r="1" spans="2:28" ht="15.6" customHeight="1" thickBot="1" x14ac:dyDescent="0.25"/>
    <row r="2" spans="2:28" ht="15.6" customHeight="1" thickTop="1" thickBot="1" x14ac:dyDescent="0.25">
      <c r="B2" s="24" t="s">
        <v>19</v>
      </c>
      <c r="C2" s="23"/>
      <c r="D2" s="23"/>
      <c r="E2" s="23"/>
      <c r="F2" s="23"/>
      <c r="G2" s="24"/>
      <c r="H2" s="23"/>
      <c r="I2" s="23"/>
      <c r="J2" s="23"/>
      <c r="K2" s="23"/>
      <c r="L2" s="23"/>
      <c r="M2" s="23"/>
      <c r="N2" s="23"/>
      <c r="O2" s="23"/>
      <c r="P2" s="23"/>
      <c r="Q2" s="23"/>
      <c r="R2" s="24"/>
      <c r="S2" s="23"/>
      <c r="T2" s="23"/>
      <c r="U2" s="24"/>
      <c r="V2" s="24"/>
      <c r="W2" s="24"/>
      <c r="X2" s="24"/>
      <c r="Y2" s="24"/>
    </row>
    <row r="3" spans="2:28" ht="15.6" customHeight="1" x14ac:dyDescent="0.2">
      <c r="W3" s="31" t="s">
        <v>12</v>
      </c>
      <c r="X3" s="36" t="s">
        <v>21</v>
      </c>
      <c r="Y3" s="32"/>
    </row>
    <row r="4" spans="2:28" ht="15.6" customHeight="1" x14ac:dyDescent="0.2">
      <c r="W4" s="4">
        <v>2021</v>
      </c>
      <c r="X4" s="34">
        <f>'Tablas vta Tot'!$K4</f>
        <v>494703438.08960003</v>
      </c>
      <c r="Y4" s="46">
        <f>SIGN(X5-X4)</f>
        <v>-1</v>
      </c>
      <c r="AA4" s="3"/>
      <c r="AB4" s="48"/>
    </row>
    <row r="5" spans="2:28" ht="15.6" customHeight="1" thickBot="1" x14ac:dyDescent="0.25">
      <c r="W5" s="5">
        <v>2022</v>
      </c>
      <c r="X5" s="35">
        <f>'Tablas vta Tot'!$K5</f>
        <v>359854243.18399984</v>
      </c>
      <c r="Y5" s="47">
        <v>-67863039.742000103</v>
      </c>
      <c r="AB5" s="48"/>
    </row>
    <row r="6" spans="2:28" ht="15.6" customHeight="1" thickBot="1" x14ac:dyDescent="0.25"/>
    <row r="7" spans="2:28" ht="15.6" customHeight="1" thickBot="1" x14ac:dyDescent="0.25">
      <c r="W7" s="8" t="s">
        <v>10</v>
      </c>
      <c r="X7" s="30"/>
      <c r="Y7" s="33"/>
    </row>
    <row r="8" spans="2:28" ht="15.6" customHeight="1" x14ac:dyDescent="0.2">
      <c r="W8" s="38" t="str">
        <f>'Tablas vta Tot'!C3</f>
        <v>Enero</v>
      </c>
      <c r="X8" s="37">
        <f>'Tablas vta Tot'!C7</f>
        <v>6.0764214918436414E-2</v>
      </c>
      <c r="Y8" s="39">
        <f>SIGN(X8)</f>
        <v>1</v>
      </c>
    </row>
    <row r="9" spans="2:28" ht="15.6" customHeight="1" x14ac:dyDescent="0.2">
      <c r="W9" s="6" t="str">
        <f>'Tablas vta Tot'!D3</f>
        <v>Febrero</v>
      </c>
      <c r="X9" s="27">
        <f>'Tablas vta Tot'!D7</f>
        <v>-0.22404753108601649</v>
      </c>
      <c r="Y9" s="28">
        <f t="shared" ref="Y9:Y15" si="0">SIGN(X9)</f>
        <v>-1</v>
      </c>
    </row>
    <row r="10" spans="2:28" ht="15.6" customHeight="1" x14ac:dyDescent="0.2">
      <c r="W10" s="6" t="str">
        <f>'Tablas vta Tot'!E3</f>
        <v>Marzo</v>
      </c>
      <c r="X10" s="27">
        <f>'Tablas vta Tot'!E7</f>
        <v>-4.4883413196306954E-2</v>
      </c>
      <c r="Y10" s="28">
        <f t="shared" si="0"/>
        <v>-1</v>
      </c>
    </row>
    <row r="11" spans="2:28" ht="15.6" customHeight="1" x14ac:dyDescent="0.2">
      <c r="W11" s="6" t="str">
        <f>'Tablas vta Tot'!F3</f>
        <v>Abril</v>
      </c>
      <c r="X11" s="27">
        <f>'Tablas vta Tot'!F7</f>
        <v>-0.24110197046986176</v>
      </c>
      <c r="Y11" s="28">
        <f t="shared" si="0"/>
        <v>-1</v>
      </c>
    </row>
    <row r="12" spans="2:28" ht="15.6" customHeight="1" x14ac:dyDescent="0.2">
      <c r="W12" s="6" t="str">
        <f>'Tablas vta Tot'!G3</f>
        <v>Mayo</v>
      </c>
      <c r="X12" s="27">
        <f>'Tablas vta Tot'!G7</f>
        <v>-0.26930816493235393</v>
      </c>
      <c r="Y12" s="28">
        <f t="shared" si="0"/>
        <v>-1</v>
      </c>
    </row>
    <row r="13" spans="2:28" ht="15.6" customHeight="1" x14ac:dyDescent="0.2">
      <c r="W13" s="6" t="str">
        <f>'Tablas vta Tot'!H3</f>
        <v>Junio</v>
      </c>
      <c r="X13" s="27">
        <f>'Tablas vta Tot'!H7</f>
        <v>-6.511101973650113E-2</v>
      </c>
      <c r="Y13" s="28">
        <f t="shared" si="0"/>
        <v>-1</v>
      </c>
    </row>
    <row r="14" spans="2:28" ht="15.6" customHeight="1" x14ac:dyDescent="0.2">
      <c r="W14" s="6" t="str">
        <f>'Tablas vta Tot'!I3</f>
        <v>Julio</v>
      </c>
      <c r="X14" s="27">
        <f>'Tablas vta Tot'!I7</f>
        <v>-0.19103640929864421</v>
      </c>
      <c r="Y14" s="28">
        <f t="shared" si="0"/>
        <v>-1</v>
      </c>
    </row>
    <row r="15" spans="2:28" ht="15.6" customHeight="1" thickBot="1" x14ac:dyDescent="0.25">
      <c r="W15" s="7" t="str">
        <f>'Tablas vta Tot'!J3</f>
        <v>Agosto</v>
      </c>
      <c r="X15" s="29">
        <f>'Tablas vta Tot'!J7</f>
        <v>-0.45855055257762789</v>
      </c>
      <c r="Y15" s="26">
        <f t="shared" si="0"/>
        <v>-1</v>
      </c>
    </row>
    <row r="16" spans="2:28" ht="15.6" customHeight="1" thickBot="1" x14ac:dyDescent="0.25"/>
    <row r="17" spans="2:27" ht="15.6" customHeight="1" thickBot="1" x14ac:dyDescent="0.25">
      <c r="W17" s="8" t="str">
        <f>W14&amp;" vs "&amp;W15</f>
        <v>Julio vs Agosto</v>
      </c>
      <c r="X17" s="30"/>
      <c r="Y17" s="33"/>
    </row>
    <row r="18" spans="2:27" ht="15.6" customHeight="1" x14ac:dyDescent="0.2">
      <c r="W18" s="49">
        <f>'Tablas vta Tot'!L7</f>
        <v>-0.14016512800523279</v>
      </c>
      <c r="X18" s="50"/>
      <c r="Y18" s="46">
        <f>SIGN(X19-X18)</f>
        <v>0</v>
      </c>
    </row>
    <row r="19" spans="2:27" ht="15.6" customHeight="1" thickBot="1" x14ac:dyDescent="0.25">
      <c r="W19" s="51"/>
      <c r="X19" s="52"/>
      <c r="Y19" s="47">
        <v>-67863039.742000103</v>
      </c>
    </row>
    <row r="20" spans="2:27" ht="15.6" customHeight="1" thickBot="1" x14ac:dyDescent="0.25"/>
    <row r="21" spans="2:27" ht="15.6" customHeight="1" thickTop="1" thickBot="1" x14ac:dyDescent="0.25">
      <c r="B21" s="24" t="s">
        <v>23</v>
      </c>
      <c r="C21" s="23"/>
      <c r="D21" s="23"/>
      <c r="E21" s="23"/>
      <c r="F21" s="23"/>
      <c r="G21" s="24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4"/>
      <c r="S21" s="23"/>
      <c r="T21" s="23"/>
      <c r="U21" s="24"/>
      <c r="V21" s="24"/>
      <c r="W21" s="24"/>
      <c r="X21" s="24"/>
      <c r="Y21" s="45"/>
    </row>
    <row r="22" spans="2:27" ht="15.6" customHeight="1" x14ac:dyDescent="0.2">
      <c r="W22" s="31" t="s">
        <v>12</v>
      </c>
      <c r="X22" s="36" t="str">
        <f>X3</f>
        <v>Acumulado</v>
      </c>
      <c r="Y22" s="32"/>
      <c r="AA22" s="3"/>
    </row>
    <row r="23" spans="2:27" ht="15.6" customHeight="1" x14ac:dyDescent="0.2">
      <c r="W23" s="4">
        <v>2021</v>
      </c>
      <c r="X23" s="34">
        <f>'Tablas vta Tot'!K11</f>
        <v>142228409</v>
      </c>
      <c r="Y23" s="46">
        <f>SIGN(X24-X23)</f>
        <v>1</v>
      </c>
    </row>
    <row r="24" spans="2:27" ht="15.6" customHeight="1" thickBot="1" x14ac:dyDescent="0.25">
      <c r="W24" s="5">
        <v>2022</v>
      </c>
      <c r="X24" s="35">
        <f>'Tablas vta Tot'!K12</f>
        <v>156605593.6139999</v>
      </c>
      <c r="Y24" s="47">
        <v>-67863039.742000103</v>
      </c>
    </row>
    <row r="25" spans="2:27" ht="15.6" customHeight="1" thickBot="1" x14ac:dyDescent="0.25"/>
    <row r="26" spans="2:27" ht="15.6" customHeight="1" thickBot="1" x14ac:dyDescent="0.25">
      <c r="W26" s="8" t="s">
        <v>10</v>
      </c>
      <c r="X26" s="30"/>
      <c r="Y26" s="33"/>
    </row>
    <row r="27" spans="2:27" ht="15.6" customHeight="1" x14ac:dyDescent="0.2">
      <c r="W27" s="38" t="str">
        <f>'Tablas vta Tot'!C10</f>
        <v>Enero</v>
      </c>
      <c r="X27" s="37">
        <f>'Tablas vta Tot'!C14</f>
        <v>-4.9064708300741817E-3</v>
      </c>
      <c r="Y27" s="39">
        <f>SIGN(X27)</f>
        <v>-1</v>
      </c>
    </row>
    <row r="28" spans="2:27" ht="15.6" customHeight="1" x14ac:dyDescent="0.2">
      <c r="W28" s="6" t="str">
        <f>'Tablas vta Tot'!D10</f>
        <v>Febrero</v>
      </c>
      <c r="X28" s="27">
        <f>'Tablas vta Tot'!D14</f>
        <v>-3.9201579537028949E-3</v>
      </c>
      <c r="Y28" s="28">
        <f t="shared" ref="Y28:Y34" si="1">SIGN(X28)</f>
        <v>-1</v>
      </c>
    </row>
    <row r="29" spans="2:27" ht="15.6" customHeight="1" x14ac:dyDescent="0.2">
      <c r="W29" s="6" t="str">
        <f>'Tablas vta Tot'!E10</f>
        <v>Marzo</v>
      </c>
      <c r="X29" s="27">
        <f>'Tablas vta Tot'!E14</f>
        <v>0.11071742402392751</v>
      </c>
      <c r="Y29" s="28">
        <f t="shared" si="1"/>
        <v>1</v>
      </c>
    </row>
    <row r="30" spans="2:27" ht="15.6" customHeight="1" x14ac:dyDescent="0.2">
      <c r="W30" s="6" t="str">
        <f>'Tablas vta Tot'!F10</f>
        <v>Abril</v>
      </c>
      <c r="X30" s="27">
        <f>'Tablas vta Tot'!F14</f>
        <v>0.13494723662011299</v>
      </c>
      <c r="Y30" s="28">
        <f t="shared" si="1"/>
        <v>1</v>
      </c>
    </row>
    <row r="31" spans="2:27" ht="15.6" customHeight="1" x14ac:dyDescent="0.2">
      <c r="W31" s="6" t="str">
        <f>'Tablas vta Tot'!G10</f>
        <v>Mayo</v>
      </c>
      <c r="X31" s="27">
        <f>'Tablas vta Tot'!G14</f>
        <v>6.7447603343842089E-4</v>
      </c>
      <c r="Y31" s="28">
        <f t="shared" si="1"/>
        <v>1</v>
      </c>
    </row>
    <row r="32" spans="2:27" ht="15.6" customHeight="1" x14ac:dyDescent="0.2">
      <c r="W32" s="6" t="str">
        <f>'Tablas vta Tot'!H10</f>
        <v>Junio</v>
      </c>
      <c r="X32" s="27">
        <f>'Tablas vta Tot'!H14</f>
        <v>0.11868765281179534</v>
      </c>
      <c r="Y32" s="28">
        <f t="shared" si="1"/>
        <v>1</v>
      </c>
    </row>
    <row r="33" spans="2:27" ht="15.6" customHeight="1" x14ac:dyDescent="0.2">
      <c r="W33" s="6" t="str">
        <f>'Tablas vta Tot'!I10</f>
        <v>Julio</v>
      </c>
      <c r="X33" s="27">
        <f>'Tablas vta Tot'!I14</f>
        <v>3.8483159425358307E-2</v>
      </c>
      <c r="Y33" s="28">
        <f t="shared" si="1"/>
        <v>1</v>
      </c>
    </row>
    <row r="34" spans="2:27" ht="15.6" customHeight="1" thickBot="1" x14ac:dyDescent="0.25">
      <c r="W34" s="7" t="str">
        <f>'Tablas vta Tot'!J10</f>
        <v>Agosto</v>
      </c>
      <c r="X34" s="29">
        <f>'Tablas vta Tot'!J14</f>
        <v>-3.4568293133676077E-2</v>
      </c>
      <c r="Y34" s="26">
        <f t="shared" si="1"/>
        <v>-1</v>
      </c>
    </row>
    <row r="35" spans="2:27" ht="15.6" customHeight="1" thickBot="1" x14ac:dyDescent="0.25"/>
    <row r="36" spans="2:27" ht="15.6" customHeight="1" thickBot="1" x14ac:dyDescent="0.25">
      <c r="W36" s="8" t="str">
        <f>$W$17</f>
        <v>Julio vs Agosto</v>
      </c>
      <c r="X36" s="30"/>
      <c r="Y36" s="33"/>
    </row>
    <row r="37" spans="2:27" ht="15.6" customHeight="1" x14ac:dyDescent="0.2">
      <c r="W37" s="49">
        <f>'Tablas vta Tot'!L21</f>
        <v>-0.62058548481618225</v>
      </c>
      <c r="X37" s="50"/>
      <c r="Y37" s="46">
        <f>SIGN(X38-X37)</f>
        <v>0</v>
      </c>
    </row>
    <row r="38" spans="2:27" ht="15.6" customHeight="1" thickBot="1" x14ac:dyDescent="0.25">
      <c r="W38" s="51"/>
      <c r="X38" s="52"/>
      <c r="Y38" s="47">
        <v>-67863039.742000103</v>
      </c>
    </row>
    <row r="39" spans="2:27" ht="15.6" customHeight="1" thickBot="1" x14ac:dyDescent="0.25"/>
    <row r="40" spans="2:27" ht="15.6" customHeight="1" thickTop="1" thickBot="1" x14ac:dyDescent="0.25">
      <c r="B40" s="24" t="s">
        <v>24</v>
      </c>
      <c r="C40" s="23"/>
      <c r="D40" s="23"/>
      <c r="E40" s="23"/>
      <c r="F40" s="23"/>
      <c r="G40" s="2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4"/>
      <c r="S40" s="23"/>
      <c r="T40" s="23"/>
      <c r="U40" s="24"/>
      <c r="V40" s="24"/>
      <c r="W40" s="24"/>
      <c r="X40" s="24"/>
      <c r="Y40" s="45"/>
      <c r="AA40" s="3"/>
    </row>
    <row r="41" spans="2:27" ht="15.6" customHeight="1" x14ac:dyDescent="0.2">
      <c r="W41" s="31" t="s">
        <v>12</v>
      </c>
      <c r="X41" s="44" t="str">
        <f>X3</f>
        <v>Acumulado</v>
      </c>
      <c r="Y41" s="32"/>
    </row>
    <row r="42" spans="2:27" ht="15.6" customHeight="1" x14ac:dyDescent="0.2">
      <c r="W42" s="4">
        <v>2021</v>
      </c>
      <c r="X42" s="34">
        <f>'Tablas vta Tot'!K18</f>
        <v>292373711.45480001</v>
      </c>
      <c r="Y42" s="46">
        <f>SIGN(X43-X42)</f>
        <v>-1</v>
      </c>
    </row>
    <row r="43" spans="2:27" ht="15.6" customHeight="1" thickBot="1" x14ac:dyDescent="0.25">
      <c r="W43" s="5">
        <v>2022</v>
      </c>
      <c r="X43" s="35">
        <f>'Tablas vta Tot'!K19</f>
        <v>154116320.9460001</v>
      </c>
      <c r="Y43" s="47">
        <v>-67863039.742000103</v>
      </c>
    </row>
    <row r="44" spans="2:27" ht="15.6" customHeight="1" thickBot="1" x14ac:dyDescent="0.25"/>
    <row r="45" spans="2:27" ht="15.6" customHeight="1" thickBot="1" x14ac:dyDescent="0.25">
      <c r="W45" s="8" t="s">
        <v>10</v>
      </c>
      <c r="X45" s="30"/>
      <c r="Y45" s="33"/>
    </row>
    <row r="46" spans="2:27" ht="15.6" customHeight="1" x14ac:dyDescent="0.2">
      <c r="W46" s="38" t="str">
        <f>'Tablas vta Tot'!C17</f>
        <v>Enero</v>
      </c>
      <c r="X46" s="37">
        <f>'Tablas vta Tot'!C21</f>
        <v>8.0440767306892216E-2</v>
      </c>
      <c r="Y46" s="39">
        <f>SIGN(X46)</f>
        <v>1</v>
      </c>
    </row>
    <row r="47" spans="2:27" ht="15.6" customHeight="1" x14ac:dyDescent="0.2">
      <c r="W47" s="6" t="str">
        <f>'Tablas vta Tot'!D17</f>
        <v>Febrero</v>
      </c>
      <c r="X47" s="27">
        <f>'Tablas vta Tot'!D21</f>
        <v>-0.24136223400344733</v>
      </c>
      <c r="Y47" s="28">
        <f t="shared" ref="Y47:Y53" si="2">SIGN(X47)</f>
        <v>-1</v>
      </c>
    </row>
    <row r="48" spans="2:27" ht="15.6" customHeight="1" x14ac:dyDescent="0.2">
      <c r="W48" s="6" t="str">
        <f>'Tablas vta Tot'!E17</f>
        <v>Marzo</v>
      </c>
      <c r="X48" s="27">
        <f>'Tablas vta Tot'!E21</f>
        <v>-0.3181621042560277</v>
      </c>
      <c r="Y48" s="28">
        <f t="shared" si="2"/>
        <v>-1</v>
      </c>
    </row>
    <row r="49" spans="2:27" ht="15.6" customHeight="1" x14ac:dyDescent="0.2">
      <c r="W49" s="6" t="str">
        <f>'Tablas vta Tot'!F17</f>
        <v>Abril</v>
      </c>
      <c r="X49" s="27">
        <f>'Tablas vta Tot'!F21</f>
        <v>-0.62607609474700709</v>
      </c>
      <c r="Y49" s="28">
        <f t="shared" si="2"/>
        <v>-1</v>
      </c>
    </row>
    <row r="50" spans="2:27" ht="15.6" customHeight="1" x14ac:dyDescent="0.2">
      <c r="W50" s="6" t="str">
        <f>'Tablas vta Tot'!G17</f>
        <v>Mayo</v>
      </c>
      <c r="X50" s="27">
        <f>'Tablas vta Tot'!G21</f>
        <v>-0.63331793841045436</v>
      </c>
      <c r="Y50" s="28">
        <f t="shared" si="2"/>
        <v>-1</v>
      </c>
    </row>
    <row r="51" spans="2:27" ht="15.6" customHeight="1" x14ac:dyDescent="0.2">
      <c r="W51" s="6" t="str">
        <f>'Tablas vta Tot'!H17</f>
        <v>Junio</v>
      </c>
      <c r="X51" s="27">
        <f>'Tablas vta Tot'!H21</f>
        <v>-0.30053322470021127</v>
      </c>
      <c r="Y51" s="28">
        <f t="shared" si="2"/>
        <v>-1</v>
      </c>
    </row>
    <row r="52" spans="2:27" ht="15.6" customHeight="1" x14ac:dyDescent="0.2">
      <c r="W52" s="6" t="str">
        <f>'Tablas vta Tot'!I17</f>
        <v>Julio</v>
      </c>
      <c r="X52" s="27">
        <f>'Tablas vta Tot'!I21</f>
        <v>-0.43613969453615431</v>
      </c>
      <c r="Y52" s="28">
        <f t="shared" si="2"/>
        <v>-1</v>
      </c>
    </row>
    <row r="53" spans="2:27" ht="15.6" customHeight="1" thickBot="1" x14ac:dyDescent="0.25">
      <c r="W53" s="7" t="str">
        <f>'Tablas vta Tot'!J17</f>
        <v>Agosto</v>
      </c>
      <c r="X53" s="29">
        <f>'Tablas vta Tot'!J21</f>
        <v>-0.89452212603050552</v>
      </c>
      <c r="Y53" s="26">
        <f t="shared" si="2"/>
        <v>-1</v>
      </c>
    </row>
    <row r="54" spans="2:27" ht="15.6" customHeight="1" thickBot="1" x14ac:dyDescent="0.25"/>
    <row r="55" spans="2:27" ht="15.6" customHeight="1" thickBot="1" x14ac:dyDescent="0.25">
      <c r="W55" s="8" t="str">
        <f>$W$17</f>
        <v>Julio vs Agosto</v>
      </c>
      <c r="X55" s="30"/>
      <c r="Y55" s="33"/>
    </row>
    <row r="56" spans="2:27" ht="15.6" customHeight="1" x14ac:dyDescent="0.2">
      <c r="W56" s="49">
        <f>'Tablas vta Tot'!L21</f>
        <v>-0.62058548481618225</v>
      </c>
      <c r="X56" s="50"/>
      <c r="Y56" s="46">
        <f>SIGN(X57-X56)</f>
        <v>0</v>
      </c>
    </row>
    <row r="57" spans="2:27" ht="15.6" customHeight="1" thickBot="1" x14ac:dyDescent="0.25">
      <c r="W57" s="51"/>
      <c r="X57" s="52"/>
      <c r="Y57" s="47">
        <v>-67863039.742000103</v>
      </c>
    </row>
    <row r="58" spans="2:27" ht="15.6" customHeight="1" thickBot="1" x14ac:dyDescent="0.25">
      <c r="AA58" s="3"/>
    </row>
    <row r="59" spans="2:27" ht="15.6" customHeight="1" thickTop="1" thickBot="1" x14ac:dyDescent="0.25">
      <c r="B59" s="24" t="s">
        <v>25</v>
      </c>
      <c r="C59" s="23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4"/>
      <c r="S59" s="23"/>
      <c r="T59" s="23"/>
      <c r="U59" s="24"/>
      <c r="V59" s="24"/>
      <c r="W59" s="24"/>
      <c r="X59" s="24"/>
      <c r="Y59" s="45"/>
    </row>
    <row r="60" spans="2:27" ht="15.6" customHeight="1" x14ac:dyDescent="0.2">
      <c r="W60" s="31" t="s">
        <v>12</v>
      </c>
      <c r="X60" s="44" t="str">
        <f>X3</f>
        <v>Acumulado</v>
      </c>
      <c r="Y60" s="32"/>
    </row>
    <row r="61" spans="2:27" ht="15.6" customHeight="1" x14ac:dyDescent="0.2">
      <c r="W61" s="4">
        <v>2021</v>
      </c>
      <c r="X61" s="34">
        <f>'Tablas vta Tot'!K26</f>
        <v>60255192.884800009</v>
      </c>
      <c r="Y61" s="46">
        <f>SIGN(X62-X61)</f>
        <v>-1</v>
      </c>
    </row>
    <row r="62" spans="2:27" ht="15.6" customHeight="1" thickBot="1" x14ac:dyDescent="0.25">
      <c r="W62" s="5">
        <v>2022</v>
      </c>
      <c r="X62" s="35">
        <f>'Tablas vta Tot'!K27</f>
        <v>49144237.453199938</v>
      </c>
      <c r="Y62" s="47">
        <v>-67863039.742000103</v>
      </c>
    </row>
    <row r="63" spans="2:27" ht="15.6" customHeight="1" thickBot="1" x14ac:dyDescent="0.25"/>
    <row r="64" spans="2:27" ht="15.6" customHeight="1" thickBot="1" x14ac:dyDescent="0.25">
      <c r="W64" s="8" t="s">
        <v>10</v>
      </c>
      <c r="X64" s="30"/>
      <c r="Y64" s="33"/>
    </row>
    <row r="65" spans="23:27" ht="15.6" customHeight="1" x14ac:dyDescent="0.2">
      <c r="W65" s="38" t="str">
        <f>'Tablas vta Tot'!C25</f>
        <v>Enero</v>
      </c>
      <c r="X65" s="37">
        <f>'Tablas vta Tot'!C29</f>
        <v>1.6733267315263704E-2</v>
      </c>
      <c r="Y65" s="39">
        <f>SIGN(X65)</f>
        <v>1</v>
      </c>
    </row>
    <row r="66" spans="23:27" ht="15.6" customHeight="1" x14ac:dyDescent="0.2">
      <c r="W66" s="6" t="str">
        <f>'Tablas vta Tot'!D25</f>
        <v>Febrero</v>
      </c>
      <c r="X66" s="27">
        <f>'Tablas vta Tot'!D29</f>
        <v>-1</v>
      </c>
      <c r="Y66" s="28">
        <f t="shared" ref="Y66:Y72" si="3">SIGN(X66)</f>
        <v>-1</v>
      </c>
    </row>
    <row r="67" spans="23:27" ht="15.6" customHeight="1" x14ac:dyDescent="0.2">
      <c r="W67" s="6" t="str">
        <f>'Tablas vta Tot'!E25</f>
        <v>Marzo</v>
      </c>
      <c r="X67" s="27">
        <f>'Tablas vta Tot'!E29</f>
        <v>0.31494130865529313</v>
      </c>
      <c r="Y67" s="28">
        <f t="shared" si="3"/>
        <v>1</v>
      </c>
    </row>
    <row r="68" spans="23:27" ht="15.6" customHeight="1" x14ac:dyDescent="0.2">
      <c r="W68" s="6" t="str">
        <f>'Tablas vta Tot'!F25</f>
        <v>Abril</v>
      </c>
      <c r="X68" s="27">
        <f>'Tablas vta Tot'!F29</f>
        <v>-0.30307583156085</v>
      </c>
      <c r="Y68" s="28">
        <f t="shared" si="3"/>
        <v>-1</v>
      </c>
    </row>
    <row r="69" spans="23:27" ht="15.6" customHeight="1" x14ac:dyDescent="0.2">
      <c r="W69" s="6" t="str">
        <f>'Tablas vta Tot'!G25</f>
        <v>Mayo</v>
      </c>
      <c r="X69" s="27">
        <f>'Tablas vta Tot'!G29</f>
        <v>-1</v>
      </c>
      <c r="Y69" s="28">
        <f t="shared" si="3"/>
        <v>-1</v>
      </c>
    </row>
    <row r="70" spans="23:27" ht="15.6" customHeight="1" x14ac:dyDescent="0.2">
      <c r="W70" s="6" t="str">
        <f>'Tablas vta Tot'!H25</f>
        <v>Junio</v>
      </c>
      <c r="X70" s="27">
        <f>'Tablas vta Tot'!H29</f>
        <v>-0.13275514169007938</v>
      </c>
      <c r="Y70" s="28">
        <f t="shared" si="3"/>
        <v>-1</v>
      </c>
    </row>
    <row r="71" spans="23:27" ht="15.6" customHeight="1" x14ac:dyDescent="0.2">
      <c r="W71" s="6" t="str">
        <f>'Tablas vta Tot'!I25</f>
        <v>Julio</v>
      </c>
      <c r="X71" s="27">
        <f>'Tablas vta Tot'!I29</f>
        <v>-6.6798440295440908E-2</v>
      </c>
      <c r="Y71" s="28">
        <f t="shared" si="3"/>
        <v>-1</v>
      </c>
      <c r="AA71" s="3"/>
    </row>
    <row r="72" spans="23:27" ht="15.6" customHeight="1" thickBot="1" x14ac:dyDescent="0.25">
      <c r="W72" s="7" t="str">
        <f>'Tablas vta Tot'!J25</f>
        <v>Agosto</v>
      </c>
      <c r="X72" s="29">
        <f>'Tablas vta Tot'!J29</f>
        <v>4.2479729674789704E-2</v>
      </c>
      <c r="Y72" s="26">
        <f t="shared" si="3"/>
        <v>1</v>
      </c>
    </row>
    <row r="73" spans="23:27" ht="15.6" customHeight="1" thickBot="1" x14ac:dyDescent="0.25"/>
    <row r="74" spans="23:27" ht="15.6" customHeight="1" thickBot="1" x14ac:dyDescent="0.25">
      <c r="W74" s="8" t="str">
        <f>$W$17</f>
        <v>Julio vs Agosto</v>
      </c>
      <c r="X74" s="30"/>
      <c r="Y74" s="33"/>
    </row>
    <row r="75" spans="23:27" x14ac:dyDescent="0.2">
      <c r="W75" s="49">
        <f>'Tablas vta Tot'!L29</f>
        <v>0.17314857535402578</v>
      </c>
      <c r="X75" s="50"/>
      <c r="Y75" s="46">
        <f>SIGN(X76-X75)</f>
        <v>0</v>
      </c>
    </row>
    <row r="76" spans="23:27" ht="12.75" thickBot="1" x14ac:dyDescent="0.25">
      <c r="W76" s="51"/>
      <c r="X76" s="52"/>
      <c r="Y76" s="47">
        <v>-67863039.742000103</v>
      </c>
    </row>
  </sheetData>
  <sheetProtection algorithmName="SHA-512" hashValue="wPuaR+EbIP9J2aOdZgd/49cWjPkM211LzmLzrTDy6WEdYruLKwD2BzwTDAVwkUhwJPIAM4YlrKLknJUTXkmnKA==" saltValue="P4rSzH7YNhdJTU6zoxCQ9g==" spinCount="100000" sheet="1" selectLockedCells="1" selectUnlockedCells="1"/>
  <mergeCells count="13">
    <mergeCell ref="W75:X76"/>
    <mergeCell ref="Y56:Y57"/>
    <mergeCell ref="Y75:Y76"/>
    <mergeCell ref="Y37:Y38"/>
    <mergeCell ref="Y18:Y19"/>
    <mergeCell ref="Y61:Y62"/>
    <mergeCell ref="Y42:Y43"/>
    <mergeCell ref="Y23:Y24"/>
    <mergeCell ref="Y4:Y5"/>
    <mergeCell ref="AB4:AB5"/>
    <mergeCell ref="W18:X19"/>
    <mergeCell ref="W37:X38"/>
    <mergeCell ref="W56:X57"/>
  </mergeCells>
  <conditionalFormatting sqref="AA4">
    <cfRule type="iconSet" priority="39">
      <iconSet iconSet="3ArrowsGray">
        <cfvo type="percent" val="0"/>
        <cfvo type="num" val="0"/>
        <cfvo type="num" val="0"/>
      </iconSet>
    </cfRule>
  </conditionalFormatting>
  <conditionalFormatting sqref="AA22">
    <cfRule type="iconSet" priority="42">
      <iconSet iconSet="3ArrowsGray">
        <cfvo type="percent" val="0"/>
        <cfvo type="num" val="0"/>
        <cfvo type="num" val="0"/>
      </iconSet>
    </cfRule>
  </conditionalFormatting>
  <conditionalFormatting sqref="AA40">
    <cfRule type="iconSet" priority="45">
      <iconSet iconSet="3ArrowsGray">
        <cfvo type="percent" val="0"/>
        <cfvo type="num" val="0"/>
        <cfvo type="num" val="0"/>
      </iconSet>
    </cfRule>
  </conditionalFormatting>
  <conditionalFormatting sqref="AA58">
    <cfRule type="iconSet" priority="51">
      <iconSet iconSet="3ArrowsGray">
        <cfvo type="percent" val="0"/>
        <cfvo type="num" val="0"/>
        <cfvo type="num" val="0"/>
      </iconSet>
    </cfRule>
  </conditionalFormatting>
  <conditionalFormatting sqref="AA71">
    <cfRule type="iconSet" priority="49">
      <iconSet iconSet="3ArrowsGray">
        <cfvo type="percent" val="0"/>
        <cfvo type="num" val="0"/>
        <cfvo type="num" val="0"/>
      </iconSet>
    </cfRule>
  </conditionalFormatting>
  <conditionalFormatting sqref="AB4">
    <cfRule type="iconSet" priority="40">
      <iconSet>
        <cfvo type="percent" val="0"/>
        <cfvo type="num" val="0"/>
        <cfvo type="num" val="0"/>
      </iconSet>
    </cfRule>
  </conditionalFormatting>
  <conditionalFormatting sqref="AB22">
    <cfRule type="iconSet" priority="43">
      <iconSet>
        <cfvo type="percent" val="0"/>
        <cfvo type="num" val="0"/>
        <cfvo type="num" val="0"/>
      </iconSet>
    </cfRule>
  </conditionalFormatting>
  <conditionalFormatting sqref="AB40">
    <cfRule type="iconSet" priority="46">
      <iconSet>
        <cfvo type="percent" val="0"/>
        <cfvo type="num" val="0"/>
        <cfvo type="num" val="0"/>
      </iconSet>
    </cfRule>
  </conditionalFormatting>
  <conditionalFormatting sqref="AB58">
    <cfRule type="iconSet" priority="52">
      <iconSet>
        <cfvo type="percent" val="0"/>
        <cfvo type="num" val="0"/>
        <cfvo type="num" val="0"/>
      </iconSet>
    </cfRule>
  </conditionalFormatting>
  <conditionalFormatting sqref="AB71">
    <cfRule type="iconSet" priority="50">
      <iconSet>
        <cfvo type="percent" val="0"/>
        <cfvo type="num" val="0"/>
        <cfvo type="num" val="0"/>
      </iconSet>
    </cfRule>
  </conditionalFormatting>
  <conditionalFormatting sqref="AC4">
    <cfRule type="iconSet" priority="41">
      <iconSet>
        <cfvo type="percent" val="0"/>
        <cfvo type="num" val="0"/>
        <cfvo type="num" val="0"/>
      </iconSet>
    </cfRule>
  </conditionalFormatting>
  <conditionalFormatting sqref="AC22">
    <cfRule type="iconSet" priority="44">
      <iconSet>
        <cfvo type="percent" val="0"/>
        <cfvo type="num" val="0"/>
        <cfvo type="num" val="0"/>
      </iconSet>
    </cfRule>
  </conditionalFormatting>
  <conditionalFormatting sqref="AC40">
    <cfRule type="iconSet" priority="48">
      <iconSet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C2ABD2E2-16D5-49A4-B38D-79500955162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Y4</xm:sqref>
        </x14:conditionalFormatting>
        <x14:conditionalFormatting xmlns:xm="http://schemas.microsoft.com/office/excel/2006/main">
          <x14:cfRule type="iconSet" priority="11" id="{4968828C-B1CC-4A7D-966C-554799D5389C}">
            <x14:iconSet iconSet="3Triangle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Y8:Y15</xm:sqref>
        </x14:conditionalFormatting>
        <x14:conditionalFormatting xmlns:xm="http://schemas.microsoft.com/office/excel/2006/main">
          <x14:cfRule type="iconSet" priority="10" id="{E3361C06-DA3F-4A80-9DDE-74ADE775632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Y18</xm:sqref>
        </x14:conditionalFormatting>
        <x14:conditionalFormatting xmlns:xm="http://schemas.microsoft.com/office/excel/2006/main">
          <x14:cfRule type="iconSet" priority="8" id="{5C4CB361-C7FA-4E86-A670-84DD4CAAA9D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Y23</xm:sqref>
        </x14:conditionalFormatting>
        <x14:conditionalFormatting xmlns:xm="http://schemas.microsoft.com/office/excel/2006/main">
          <x14:cfRule type="iconSet" priority="9" id="{830E0A42-0E7D-45A5-A633-5FF5955A5534}">
            <x14:iconSet iconSet="3Triangle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Y27:Y34</xm:sqref>
        </x14:conditionalFormatting>
        <x14:conditionalFormatting xmlns:xm="http://schemas.microsoft.com/office/excel/2006/main">
          <x14:cfRule type="iconSet" priority="7" id="{E7B5F4A7-4366-42E6-9293-FA09D8B7F72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Y37</xm:sqref>
        </x14:conditionalFormatting>
        <x14:conditionalFormatting xmlns:xm="http://schemas.microsoft.com/office/excel/2006/main">
          <x14:cfRule type="iconSet" priority="5" id="{0A015B6A-D7AD-41F2-BAFE-22BF9EF305D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Y42</xm:sqref>
        </x14:conditionalFormatting>
        <x14:conditionalFormatting xmlns:xm="http://schemas.microsoft.com/office/excel/2006/main">
          <x14:cfRule type="iconSet" priority="6" id="{9C79E472-EA37-40AA-AB39-71920E1504F1}">
            <x14:iconSet iconSet="3Triangle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Y46:Y53</xm:sqref>
        </x14:conditionalFormatting>
        <x14:conditionalFormatting xmlns:xm="http://schemas.microsoft.com/office/excel/2006/main">
          <x14:cfRule type="iconSet" priority="4" id="{C5B3CCC8-444A-491E-8004-3A99ABEBD0F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Y56</xm:sqref>
        </x14:conditionalFormatting>
        <x14:conditionalFormatting xmlns:xm="http://schemas.microsoft.com/office/excel/2006/main">
          <x14:cfRule type="iconSet" priority="2" id="{6B6AC1F8-4282-403F-B286-8D97EAEDEE3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Y61</xm:sqref>
        </x14:conditionalFormatting>
        <x14:conditionalFormatting xmlns:xm="http://schemas.microsoft.com/office/excel/2006/main">
          <x14:cfRule type="iconSet" priority="3" id="{D445295F-F048-48B6-A059-A88C173A88E2}">
            <x14:iconSet iconSet="3Triangle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Y65:Y72</xm:sqref>
        </x14:conditionalFormatting>
        <x14:conditionalFormatting xmlns:xm="http://schemas.microsoft.com/office/excel/2006/main">
          <x14:cfRule type="iconSet" priority="1" id="{B590E56E-948C-487C-81FD-30099F843D7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Y75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E904-1D48-44E4-89B1-5BA28B09824B}">
  <sheetPr codeName="Hoja4"/>
  <dimension ref="B2:N34"/>
  <sheetViews>
    <sheetView zoomScale="85" zoomScaleNormal="85" workbookViewId="0">
      <selection activeCell="K4" sqref="K4"/>
    </sheetView>
  </sheetViews>
  <sheetFormatPr baseColWidth="10" defaultRowHeight="12" x14ac:dyDescent="0.2"/>
  <cols>
    <col min="2" max="8" width="14.5" bestFit="1" customWidth="1"/>
    <col min="9" max="9" width="16.1640625" bestFit="1" customWidth="1"/>
    <col min="10" max="10" width="17" bestFit="1" customWidth="1"/>
    <col min="11" max="11" width="19.33203125" bestFit="1" customWidth="1"/>
    <col min="12" max="12" width="20.5" bestFit="1" customWidth="1"/>
    <col min="13" max="17" width="15.33203125" bestFit="1" customWidth="1"/>
  </cols>
  <sheetData>
    <row r="2" spans="2:14" ht="12.75" thickBot="1" x14ac:dyDescent="0.25">
      <c r="B2" s="1" t="s">
        <v>18</v>
      </c>
    </row>
    <row r="3" spans="2:14" x14ac:dyDescent="0.2">
      <c r="B3" s="20" t="s">
        <v>12</v>
      </c>
      <c r="C3" s="20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20</v>
      </c>
      <c r="J3" s="1" t="s">
        <v>22</v>
      </c>
      <c r="K3" s="1" t="s">
        <v>17</v>
      </c>
      <c r="L3" s="40" t="s">
        <v>11</v>
      </c>
      <c r="N3" s="1"/>
    </row>
    <row r="4" spans="2:14" x14ac:dyDescent="0.2">
      <c r="B4" s="13">
        <v>2021</v>
      </c>
      <c r="C4" s="14">
        <v>83865948.239999995</v>
      </c>
      <c r="D4" s="14">
        <v>78063586.849600017</v>
      </c>
      <c r="E4" s="14">
        <v>53222539.389999986</v>
      </c>
      <c r="F4" s="14">
        <v>58269002.319999993</v>
      </c>
      <c r="G4" s="14">
        <v>40625604.639999993</v>
      </c>
      <c r="H4" s="14">
        <v>46512449.310000017</v>
      </c>
      <c r="I4" s="11">
        <v>56367991.290000021</v>
      </c>
      <c r="J4" s="11">
        <v>77776316.049999997</v>
      </c>
      <c r="K4" s="9">
        <f>SUM('Tablas vta Tot'!$C4:$J4)</f>
        <v>494703438.08960003</v>
      </c>
      <c r="L4" s="41" t="s">
        <v>8</v>
      </c>
    </row>
    <row r="5" spans="2:14" x14ac:dyDescent="0.2">
      <c r="B5" s="16">
        <v>2022</v>
      </c>
      <c r="C5" s="17">
        <v>94717426.823200017</v>
      </c>
      <c r="D5" s="17">
        <v>49486340.529999949</v>
      </c>
      <c r="E5" s="17">
        <v>48650145.577199943</v>
      </c>
      <c r="F5" s="17">
        <v>35629812.936799996</v>
      </c>
      <c r="G5" s="17">
        <v>23386596.277599998</v>
      </c>
      <c r="H5" s="11">
        <v>40825768.862799995</v>
      </c>
      <c r="I5" s="11">
        <v>38285691.586399995</v>
      </c>
      <c r="J5" s="11">
        <f>J12+J19+J27</f>
        <v>28872460.589999989</v>
      </c>
      <c r="K5" s="9">
        <f>SUM('Tablas vta Tot'!$C5:$J5)</f>
        <v>359854243.18399984</v>
      </c>
      <c r="L5" s="42">
        <f>J5-I5</f>
        <v>-9413230.9964000061</v>
      </c>
      <c r="N5" s="11"/>
    </row>
    <row r="6" spans="2:14" x14ac:dyDescent="0.2">
      <c r="B6" s="13" t="s">
        <v>8</v>
      </c>
      <c r="C6" s="14">
        <f t="shared" ref="C6:H6" si="0">C5-C4</f>
        <v>10851478.583200023</v>
      </c>
      <c r="D6" s="14">
        <f t="shared" si="0"/>
        <v>-28577246.319600068</v>
      </c>
      <c r="E6" s="14">
        <f t="shared" si="0"/>
        <v>-4572393.8128000423</v>
      </c>
      <c r="F6" s="14">
        <f t="shared" si="0"/>
        <v>-22639189.383199997</v>
      </c>
      <c r="G6" s="14">
        <f t="shared" si="0"/>
        <v>-17239008.362399995</v>
      </c>
      <c r="H6" s="11">
        <f t="shared" si="0"/>
        <v>-5686680.4472000226</v>
      </c>
      <c r="I6" s="11">
        <f>I5-I4</f>
        <v>-18082299.703600027</v>
      </c>
      <c r="J6" s="11">
        <f>J5-J4</f>
        <v>-48903855.460000008</v>
      </c>
      <c r="K6" s="9">
        <f>SUM('Tablas vta Tot'!$C6:$J6)</f>
        <v>-134849194.90560013</v>
      </c>
      <c r="L6" s="41" t="s">
        <v>9</v>
      </c>
    </row>
    <row r="7" spans="2:14" ht="12.75" thickBot="1" x14ac:dyDescent="0.25">
      <c r="B7" s="1" t="s">
        <v>9</v>
      </c>
      <c r="C7" s="21">
        <f t="shared" ref="C7:I7" si="1">IFERROR(C6/SUM(C4:C5),"-")</f>
        <v>6.0764214918436414E-2</v>
      </c>
      <c r="D7" s="21">
        <f t="shared" si="1"/>
        <v>-0.22404753108601649</v>
      </c>
      <c r="E7" s="21">
        <f t="shared" si="1"/>
        <v>-4.4883413196306954E-2</v>
      </c>
      <c r="F7" s="21">
        <f t="shared" si="1"/>
        <v>-0.24110197046986176</v>
      </c>
      <c r="G7" s="21">
        <f t="shared" si="1"/>
        <v>-0.26930816493235393</v>
      </c>
      <c r="H7" s="21">
        <f t="shared" si="1"/>
        <v>-6.511101973650113E-2</v>
      </c>
      <c r="I7" s="21">
        <f t="shared" si="1"/>
        <v>-0.19103640929864421</v>
      </c>
      <c r="J7" s="21">
        <f>IFERROR(J6/SUM(J4:J5),"-")</f>
        <v>-0.45855055257762789</v>
      </c>
      <c r="K7" s="22">
        <f>K6/SUM(K4:K5)</f>
        <v>-0.15779999157532126</v>
      </c>
      <c r="L7" s="43">
        <f>L5/SUM(I5:J5)</f>
        <v>-0.14016512800523279</v>
      </c>
    </row>
    <row r="9" spans="2:14" ht="12.75" thickBot="1" x14ac:dyDescent="0.25">
      <c r="B9" s="1" t="s">
        <v>26</v>
      </c>
    </row>
    <row r="10" spans="2:14" x14ac:dyDescent="0.2">
      <c r="B10" s="20" t="s">
        <v>12</v>
      </c>
      <c r="C10" s="20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20</v>
      </c>
      <c r="J10" s="1" t="s">
        <v>22</v>
      </c>
      <c r="K10" s="1" t="s">
        <v>17</v>
      </c>
      <c r="L10" s="40" t="s">
        <v>11</v>
      </c>
      <c r="N10" s="1"/>
    </row>
    <row r="11" spans="2:14" x14ac:dyDescent="0.2">
      <c r="B11" s="13">
        <v>2021</v>
      </c>
      <c r="C11" s="14">
        <v>14313449</v>
      </c>
      <c r="D11" s="14">
        <v>19156433</v>
      </c>
      <c r="E11" s="14">
        <v>16565163</v>
      </c>
      <c r="F11" s="14">
        <v>17274313</v>
      </c>
      <c r="G11" s="14">
        <v>18364061</v>
      </c>
      <c r="H11" s="14">
        <v>18193314</v>
      </c>
      <c r="I11" s="11">
        <v>19001221</v>
      </c>
      <c r="J11" s="11">
        <v>19360455</v>
      </c>
      <c r="K11" s="9">
        <f>SUM('Tablas vta Tot'!$C11:$J11)</f>
        <v>142228409</v>
      </c>
      <c r="L11" s="41" t="s">
        <v>8</v>
      </c>
    </row>
    <row r="12" spans="2:14" x14ac:dyDescent="0.2">
      <c r="B12" s="16">
        <v>2022</v>
      </c>
      <c r="C12" s="17">
        <v>14173677.743599901</v>
      </c>
      <c r="D12" s="17">
        <v>19006826.992799994</v>
      </c>
      <c r="E12" s="17">
        <v>20689953.534399997</v>
      </c>
      <c r="F12" s="17">
        <v>22663858.9388</v>
      </c>
      <c r="G12" s="17">
        <v>18388849.957599998</v>
      </c>
      <c r="H12" s="11">
        <v>23093555.650800001</v>
      </c>
      <c r="I12" s="11">
        <v>20522207.396000002</v>
      </c>
      <c r="J12" s="11">
        <v>18066663.399999999</v>
      </c>
      <c r="K12" s="9">
        <f>SUM('Tablas vta Tot'!$C12:$J12)</f>
        <v>156605593.6139999</v>
      </c>
      <c r="L12" s="42">
        <f>J12-I12</f>
        <v>-2455543.9960000031</v>
      </c>
    </row>
    <row r="13" spans="2:14" x14ac:dyDescent="0.2">
      <c r="B13" s="13" t="s">
        <v>8</v>
      </c>
      <c r="C13" s="14">
        <f t="shared" ref="C13:I13" si="2">C12-C11</f>
        <v>-139771.25640009902</v>
      </c>
      <c r="D13" s="14">
        <f t="shared" si="2"/>
        <v>-149606.0072000064</v>
      </c>
      <c r="E13" s="14">
        <f t="shared" si="2"/>
        <v>4124790.5343999974</v>
      </c>
      <c r="F13" s="14">
        <f t="shared" si="2"/>
        <v>5389545.9387999997</v>
      </c>
      <c r="G13" s="14">
        <f t="shared" si="2"/>
        <v>24788.95759999752</v>
      </c>
      <c r="H13" s="11">
        <f t="shared" si="2"/>
        <v>4900241.6508000009</v>
      </c>
      <c r="I13" s="11">
        <f t="shared" si="2"/>
        <v>1520986.3960000016</v>
      </c>
      <c r="J13" s="11">
        <f>J12-J11</f>
        <v>-1293791.6000000015</v>
      </c>
      <c r="K13" s="9">
        <f>SUM('Tablas vta Tot'!$C13:$J13)</f>
        <v>14377184.61399989</v>
      </c>
      <c r="L13" s="41" t="s">
        <v>9</v>
      </c>
    </row>
    <row r="14" spans="2:14" ht="12.75" thickBot="1" x14ac:dyDescent="0.25">
      <c r="B14" s="1" t="s">
        <v>9</v>
      </c>
      <c r="C14" s="21">
        <f t="shared" ref="C14:I14" si="3">IFERROR(C13/SUM(C11:C12),"-")</f>
        <v>-4.9064708300741817E-3</v>
      </c>
      <c r="D14" s="21">
        <f t="shared" si="3"/>
        <v>-3.9201579537028949E-3</v>
      </c>
      <c r="E14" s="21">
        <f t="shared" si="3"/>
        <v>0.11071742402392751</v>
      </c>
      <c r="F14" s="21">
        <f t="shared" si="3"/>
        <v>0.13494723662011299</v>
      </c>
      <c r="G14" s="21">
        <f t="shared" si="3"/>
        <v>6.7447603343842089E-4</v>
      </c>
      <c r="H14" s="21">
        <f t="shared" si="3"/>
        <v>0.11868765281179534</v>
      </c>
      <c r="I14" s="21">
        <f t="shared" si="3"/>
        <v>3.8483159425358307E-2</v>
      </c>
      <c r="J14" s="21">
        <f>IFERROR(J13/SUM(J11:J12),"-")</f>
        <v>-3.4568293133676077E-2</v>
      </c>
      <c r="K14" s="22">
        <f>K13/SUM(K11:K12)</f>
        <v>4.8110939478900994E-2</v>
      </c>
      <c r="L14" s="43">
        <f>L12/SUM(I12:J12)</f>
        <v>-6.3633476319668231E-2</v>
      </c>
    </row>
    <row r="15" spans="2:14" x14ac:dyDescent="0.2">
      <c r="B15" s="1"/>
      <c r="C15" s="21"/>
      <c r="D15" s="21"/>
      <c r="E15" s="21"/>
      <c r="F15" s="21"/>
      <c r="G15" s="21"/>
      <c r="H15" s="21"/>
      <c r="I15" s="21"/>
      <c r="J15" s="22"/>
    </row>
    <row r="16" spans="2:14" ht="12.75" thickBot="1" x14ac:dyDescent="0.25">
      <c r="B16" s="1" t="s">
        <v>27</v>
      </c>
    </row>
    <row r="17" spans="2:14" x14ac:dyDescent="0.2">
      <c r="B17" s="20" t="s">
        <v>12</v>
      </c>
      <c r="C17" s="20" t="s">
        <v>0</v>
      </c>
      <c r="D17" s="1" t="s">
        <v>1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20</v>
      </c>
      <c r="J17" s="1" t="s">
        <v>22</v>
      </c>
      <c r="K17" s="1" t="s">
        <v>17</v>
      </c>
      <c r="L17" s="40" t="s">
        <v>11</v>
      </c>
      <c r="N17" s="1"/>
    </row>
    <row r="18" spans="2:14" x14ac:dyDescent="0.2">
      <c r="B18" s="13">
        <v>2021</v>
      </c>
      <c r="C18" s="14">
        <v>61197972.819999993</v>
      </c>
      <c r="D18" s="14">
        <v>49893245.344800025</v>
      </c>
      <c r="E18" s="14">
        <v>30239826.829999991</v>
      </c>
      <c r="F18" s="14">
        <v>29386565.399999999</v>
      </c>
      <c r="G18" s="14">
        <v>22261543.639999993</v>
      </c>
      <c r="H18" s="14">
        <v>17337677.979999997</v>
      </c>
      <c r="I18" s="14">
        <f>I4-I11-I26</f>
        <v>30952821.340000018</v>
      </c>
      <c r="J18" s="14">
        <v>51104058.100000009</v>
      </c>
      <c r="K18" s="15">
        <f>SUM('Tablas vta Tot'!$C18:$J18)</f>
        <v>292373711.45480001</v>
      </c>
      <c r="L18" s="41" t="s">
        <v>8</v>
      </c>
    </row>
    <row r="19" spans="2:14" x14ac:dyDescent="0.2">
      <c r="B19" s="16">
        <v>2022</v>
      </c>
      <c r="C19" s="17">
        <v>71904867.419600114</v>
      </c>
      <c r="D19" s="17">
        <v>30491422.366400007</v>
      </c>
      <c r="E19" s="17">
        <v>15641975.919999998</v>
      </c>
      <c r="F19" s="17">
        <v>6757580</v>
      </c>
      <c r="G19" s="17">
        <v>4997746.32</v>
      </c>
      <c r="H19" s="11">
        <v>9324736.5599999987</v>
      </c>
      <c r="I19" s="14">
        <f>I5-I12-I27</f>
        <v>12152764.359999994</v>
      </c>
      <c r="J19" s="11">
        <v>2845228</v>
      </c>
      <c r="K19" s="9">
        <f>SUM('Tablas vta Tot'!$C19:$J19)</f>
        <v>154116320.9460001</v>
      </c>
      <c r="L19" s="42">
        <f>J19-I19</f>
        <v>-9307536.3599999938</v>
      </c>
    </row>
    <row r="20" spans="2:14" x14ac:dyDescent="0.2">
      <c r="B20" s="13" t="s">
        <v>8</v>
      </c>
      <c r="C20" s="14">
        <f t="shared" ref="C20:H20" si="4">C19-C18</f>
        <v>10706894.599600121</v>
      </c>
      <c r="D20" s="14">
        <f t="shared" si="4"/>
        <v>-19401822.978400018</v>
      </c>
      <c r="E20" s="14">
        <f t="shared" si="4"/>
        <v>-14597850.909999993</v>
      </c>
      <c r="F20" s="14">
        <f t="shared" si="4"/>
        <v>-22628985.399999999</v>
      </c>
      <c r="G20" s="14">
        <f t="shared" si="4"/>
        <v>-17263797.319999993</v>
      </c>
      <c r="H20" s="11">
        <f t="shared" si="4"/>
        <v>-8012941.4199999981</v>
      </c>
      <c r="I20" s="11">
        <f>I19-I18</f>
        <v>-18800056.980000027</v>
      </c>
      <c r="J20" s="11">
        <f>J19-J18</f>
        <v>-48258830.100000009</v>
      </c>
      <c r="K20" s="9">
        <f>SUM('Tablas vta Tot'!$C20:$J20)</f>
        <v>-138257390.50879991</v>
      </c>
      <c r="L20" s="41" t="s">
        <v>9</v>
      </c>
    </row>
    <row r="21" spans="2:14" ht="12.75" thickBot="1" x14ac:dyDescent="0.25">
      <c r="B21" s="1" t="s">
        <v>9</v>
      </c>
      <c r="C21" s="21">
        <f t="shared" ref="C21:I21" si="5">IFERROR(C20/SUM(C18:C19),"-")</f>
        <v>8.0440767306892216E-2</v>
      </c>
      <c r="D21" s="21">
        <f t="shared" si="5"/>
        <v>-0.24136223400344733</v>
      </c>
      <c r="E21" s="21">
        <f t="shared" si="5"/>
        <v>-0.3181621042560277</v>
      </c>
      <c r="F21" s="21">
        <f t="shared" si="5"/>
        <v>-0.62607609474700709</v>
      </c>
      <c r="G21" s="21">
        <f t="shared" si="5"/>
        <v>-0.63331793841045436</v>
      </c>
      <c r="H21" s="21">
        <f t="shared" si="5"/>
        <v>-0.30053322470021127</v>
      </c>
      <c r="I21" s="21">
        <f t="shared" si="5"/>
        <v>-0.43613969453615431</v>
      </c>
      <c r="J21" s="21">
        <f>IFERROR(J20/SUM(J18:J19),"-")</f>
        <v>-0.89452212603050552</v>
      </c>
      <c r="K21" s="22">
        <f>K20/SUM(K18:K19)</f>
        <v>-0.30965392388578694</v>
      </c>
      <c r="L21" s="43">
        <f>L19/SUM(I19:J19)</f>
        <v>-0.62058548481618225</v>
      </c>
    </row>
    <row r="22" spans="2:14" x14ac:dyDescent="0.2">
      <c r="B22" s="1"/>
      <c r="C22" s="21"/>
      <c r="D22" s="21"/>
      <c r="E22" s="21"/>
      <c r="F22" s="21"/>
      <c r="G22" s="21"/>
      <c r="H22" s="21"/>
      <c r="I22" s="21"/>
      <c r="J22" s="22"/>
    </row>
    <row r="23" spans="2:14" x14ac:dyDescent="0.2">
      <c r="B23" s="1"/>
      <c r="C23" s="21"/>
      <c r="D23" s="21"/>
      <c r="E23" s="21"/>
      <c r="F23" s="21"/>
      <c r="G23" s="21"/>
      <c r="H23" s="21"/>
      <c r="I23" s="21"/>
      <c r="J23" s="22"/>
    </row>
    <row r="24" spans="2:14" ht="12.75" thickBot="1" x14ac:dyDescent="0.25">
      <c r="B24" s="1" t="s">
        <v>28</v>
      </c>
    </row>
    <row r="25" spans="2:14" x14ac:dyDescent="0.2">
      <c r="B25" s="20" t="s">
        <v>12</v>
      </c>
      <c r="C25" s="20" t="s">
        <v>0</v>
      </c>
      <c r="D25" s="1" t="s">
        <v>1</v>
      </c>
      <c r="E25" s="1" t="s">
        <v>2</v>
      </c>
      <c r="F25" s="1" t="s">
        <v>3</v>
      </c>
      <c r="G25" s="1" t="s">
        <v>4</v>
      </c>
      <c r="H25" s="1" t="s">
        <v>5</v>
      </c>
      <c r="I25" s="1" t="s">
        <v>20</v>
      </c>
      <c r="J25" s="1" t="s">
        <v>22</v>
      </c>
      <c r="K25" s="1" t="s">
        <v>17</v>
      </c>
      <c r="L25" s="40" t="s">
        <v>11</v>
      </c>
      <c r="N25" s="1"/>
    </row>
    <row r="26" spans="2:14" x14ac:dyDescent="0.2">
      <c r="B26" s="13">
        <v>2021</v>
      </c>
      <c r="C26" s="14">
        <v>8354526.4199999981</v>
      </c>
      <c r="D26" s="14">
        <v>9013908.5047999974</v>
      </c>
      <c r="E26" s="14">
        <v>6417549.5600000015</v>
      </c>
      <c r="F26" s="14">
        <v>11608123.919999998</v>
      </c>
      <c r="G26" s="25">
        <v>153875.24999999814</v>
      </c>
      <c r="H26" s="14">
        <v>10981457.330000004</v>
      </c>
      <c r="I26" s="14">
        <v>6413948.9500000011</v>
      </c>
      <c r="J26" s="14">
        <v>7311802.9500000002</v>
      </c>
      <c r="K26" s="15">
        <f>SUM('Tablas vta Tot'!$C26:$J26)</f>
        <v>60255192.884800009</v>
      </c>
      <c r="L26" s="41" t="s">
        <v>8</v>
      </c>
    </row>
    <row r="27" spans="2:14" x14ac:dyDescent="0.2">
      <c r="B27" s="16">
        <v>2022</v>
      </c>
      <c r="C27" s="17">
        <v>8638881.6600000001</v>
      </c>
      <c r="D27" s="17">
        <v>0</v>
      </c>
      <c r="E27" s="17">
        <v>12318216.12279995</v>
      </c>
      <c r="F27" s="17">
        <v>6208373.9979999969</v>
      </c>
      <c r="G27" s="17">
        <v>0</v>
      </c>
      <c r="H27" s="11">
        <v>8407476.6519999988</v>
      </c>
      <c r="I27" s="11">
        <v>5610719.8303999994</v>
      </c>
      <c r="J27" s="11">
        <v>7960569.1899999892</v>
      </c>
      <c r="K27" s="9">
        <f>SUM('Tablas vta Tot'!$C27:$J27)</f>
        <v>49144237.453199938</v>
      </c>
      <c r="L27" s="42">
        <f>J27-I27</f>
        <v>2349849.3595999898</v>
      </c>
    </row>
    <row r="28" spans="2:14" x14ac:dyDescent="0.2">
      <c r="B28" s="13" t="s">
        <v>8</v>
      </c>
      <c r="C28" s="14">
        <f t="shared" ref="C28:H28" si="6">C27-C26</f>
        <v>284355.24000000209</v>
      </c>
      <c r="D28" s="14">
        <f t="shared" si="6"/>
        <v>-9013908.5047999974</v>
      </c>
      <c r="E28" s="14">
        <f t="shared" si="6"/>
        <v>5900666.5627999483</v>
      </c>
      <c r="F28" s="14">
        <f t="shared" si="6"/>
        <v>-5399749.9220000012</v>
      </c>
      <c r="G28" s="14">
        <f t="shared" si="6"/>
        <v>-153875.24999999814</v>
      </c>
      <c r="H28" s="11">
        <f t="shared" si="6"/>
        <v>-2573980.678000005</v>
      </c>
      <c r="I28" s="11">
        <f>I27-I26</f>
        <v>-803229.11960000172</v>
      </c>
      <c r="J28" s="11">
        <f>J27-J26</f>
        <v>648766.23999998905</v>
      </c>
      <c r="K28" s="9">
        <f>SUM('Tablas vta Tot'!$C28:$J28)</f>
        <v>-11110955.431600064</v>
      </c>
      <c r="L28" s="41" t="s">
        <v>9</v>
      </c>
    </row>
    <row r="29" spans="2:14" ht="12.75" thickBot="1" x14ac:dyDescent="0.25">
      <c r="B29" s="1" t="s">
        <v>9</v>
      </c>
      <c r="C29" s="21">
        <f t="shared" ref="C29:H29" si="7">IFERROR(C28/SUM(C26:C27),"-")</f>
        <v>1.6733267315263704E-2</v>
      </c>
      <c r="D29" s="21">
        <f t="shared" si="7"/>
        <v>-1</v>
      </c>
      <c r="E29" s="21">
        <f t="shared" si="7"/>
        <v>0.31494130865529313</v>
      </c>
      <c r="F29" s="21">
        <f t="shared" si="7"/>
        <v>-0.30307583156085</v>
      </c>
      <c r="G29" s="21">
        <f t="shared" si="7"/>
        <v>-1</v>
      </c>
      <c r="H29" s="21">
        <f t="shared" si="7"/>
        <v>-0.13275514169007938</v>
      </c>
      <c r="I29" s="21">
        <f>IFERROR(I28/SUM(I26:I27),"-")</f>
        <v>-6.6798440295440908E-2</v>
      </c>
      <c r="J29" s="21">
        <f>IFERROR(J28/SUM(J26:J27),"-")</f>
        <v>4.2479729674789704E-2</v>
      </c>
      <c r="K29" s="22">
        <f>IFERROR(K28/SUM(K26:K27),"-")</f>
        <v>-0.1015631927631772</v>
      </c>
      <c r="L29" s="43">
        <f>L27/SUM(I27:J27)</f>
        <v>0.17314857535402578</v>
      </c>
    </row>
    <row r="32" spans="2:14" x14ac:dyDescent="0.2">
      <c r="B32" s="12"/>
      <c r="C32" s="12"/>
      <c r="D32" s="12"/>
      <c r="E32" s="12"/>
      <c r="F32" s="12"/>
    </row>
    <row r="33" spans="2:7" ht="15" x14ac:dyDescent="0.25">
      <c r="B33" s="10" t="s">
        <v>14</v>
      </c>
      <c r="C33" s="10" t="s">
        <v>6</v>
      </c>
      <c r="D33" s="10" t="s">
        <v>7</v>
      </c>
      <c r="E33" s="10" t="s">
        <v>13</v>
      </c>
      <c r="F33" s="10" t="s">
        <v>16</v>
      </c>
    </row>
    <row r="34" spans="2:7" ht="15" x14ac:dyDescent="0.25">
      <c r="B34" s="18" t="s">
        <v>15</v>
      </c>
      <c r="C34" s="19">
        <v>2111</v>
      </c>
      <c r="D34" s="19">
        <v>2570</v>
      </c>
      <c r="E34" s="19">
        <v>5437</v>
      </c>
      <c r="F34" s="19">
        <v>756</v>
      </c>
      <c r="G34" s="2"/>
    </row>
  </sheetData>
  <sheetProtection algorithmName="SHA-512" hashValue="v5CkPTFqFAlIq2Q2y+5wdFk1StzbWrmdoWu4IqsAqUiV7dnXI+TcFePjAGLfujXYPPOlFRdyT9/nZLwd6XdQKQ==" saltValue="rm/R+96oZsxIIkllKdYkFA==" spinCount="100000" sheet="1" selectLockedCells="1" selectUnlockedCells="1"/>
  <phoneticPr fontId="4" type="noConversion"/>
  <pageMargins left="0.7" right="0.7" top="0.75" bottom="0.75" header="0.3" footer="0.3"/>
  <pageSetup paperSize="9" orientation="portrait" r:id="rId1"/>
  <legacy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Portada</vt:lpstr>
      <vt:lpstr>Venta total</vt:lpstr>
      <vt:lpstr>Tablas vta Tot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Administrativo04</dc:creator>
  <cp:lastModifiedBy>Pedro Ángel Campos González</cp:lastModifiedBy>
  <dcterms:created xsi:type="dcterms:W3CDTF">2022-06-27T15:24:39Z</dcterms:created>
  <dcterms:modified xsi:type="dcterms:W3CDTF">2025-12-02T21:08:45Z</dcterms:modified>
</cp:coreProperties>
</file>